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esktop\Howest\Project Duurzaam Energieplan\Gegevens\"/>
    </mc:Choice>
  </mc:AlternateContent>
  <xr:revisionPtr revIDLastSave="0" documentId="8_{60013F9F-E0F4-4E54-B3AE-63E8F9A5430B}" xr6:coauthVersionLast="47" xr6:coauthVersionMax="47" xr10:uidLastSave="{00000000-0000-0000-0000-000000000000}"/>
  <bookViews>
    <workbookView xWindow="-108" yWindow="-108" windowWidth="23256" windowHeight="12456" xr2:uid="{8D32F41B-4387-48BA-BD07-E7541B64A231}"/>
  </bookViews>
  <sheets>
    <sheet name="Blad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431" i="1" l="1"/>
  <c r="BS431" i="1"/>
  <c r="AW431" i="1"/>
  <c r="AF431" i="1"/>
  <c r="E431" i="1"/>
  <c r="BT430" i="1"/>
  <c r="AW430" i="1"/>
  <c r="AF430" i="1"/>
  <c r="E430" i="1"/>
  <c r="BS430" i="1" s="1"/>
  <c r="BT429" i="1"/>
  <c r="BS429" i="1"/>
  <c r="AW429" i="1"/>
  <c r="AF429" i="1"/>
  <c r="E429" i="1"/>
  <c r="BT428" i="1"/>
  <c r="AW428" i="1"/>
  <c r="AF428" i="1"/>
  <c r="E428" i="1"/>
  <c r="BS428" i="1" s="1"/>
  <c r="BT427" i="1"/>
  <c r="AW427" i="1"/>
  <c r="AF427" i="1"/>
  <c r="E427" i="1"/>
  <c r="BS427" i="1" s="1"/>
  <c r="BT426" i="1"/>
  <c r="AW426" i="1"/>
  <c r="AF426" i="1"/>
  <c r="E426" i="1"/>
  <c r="BS426" i="1" s="1"/>
  <c r="BT425" i="1"/>
  <c r="AW425" i="1"/>
  <c r="AF425" i="1"/>
  <c r="E425" i="1"/>
  <c r="BS425" i="1" s="1"/>
  <c r="BT424" i="1"/>
  <c r="AW424" i="1"/>
  <c r="AF424" i="1"/>
  <c r="E424" i="1"/>
  <c r="BS424" i="1" s="1"/>
  <c r="BT423" i="1"/>
  <c r="AW423" i="1"/>
  <c r="AF423" i="1"/>
  <c r="E423" i="1"/>
  <c r="BS423" i="1" s="1"/>
  <c r="BT422" i="1"/>
  <c r="AW422" i="1"/>
  <c r="AF422" i="1"/>
  <c r="E422" i="1"/>
  <c r="BS422" i="1" s="1"/>
  <c r="BT421" i="1"/>
  <c r="AW421" i="1"/>
  <c r="AF421" i="1"/>
  <c r="E421" i="1"/>
  <c r="BS421" i="1" s="1"/>
  <c r="BT420" i="1"/>
  <c r="AW420" i="1"/>
  <c r="AF420" i="1"/>
  <c r="E420" i="1"/>
  <c r="BS420" i="1" s="1"/>
  <c r="BT419" i="1"/>
  <c r="AW419" i="1"/>
  <c r="AF419" i="1"/>
  <c r="E419" i="1"/>
  <c r="BS419" i="1" s="1"/>
  <c r="BT418" i="1"/>
  <c r="AW418" i="1"/>
  <c r="AF418" i="1"/>
  <c r="E418" i="1"/>
  <c r="BS418" i="1" s="1"/>
  <c r="BT417" i="1"/>
  <c r="BS417" i="1"/>
  <c r="AW417" i="1"/>
  <c r="AF417" i="1"/>
  <c r="E417" i="1"/>
  <c r="BT416" i="1"/>
  <c r="BS416" i="1"/>
  <c r="AW416" i="1"/>
  <c r="AF416" i="1"/>
  <c r="E416" i="1"/>
  <c r="BT415" i="1"/>
  <c r="BS415" i="1"/>
  <c r="AW415" i="1"/>
  <c r="AF415" i="1"/>
  <c r="E415" i="1"/>
  <c r="BT414" i="1"/>
  <c r="BS414" i="1"/>
  <c r="AW414" i="1"/>
  <c r="AF414" i="1"/>
  <c r="E414" i="1"/>
  <c r="BT408" i="1"/>
  <c r="BS408" i="1"/>
  <c r="AW408" i="1"/>
  <c r="AF408" i="1"/>
  <c r="E408" i="1"/>
  <c r="BT407" i="1"/>
  <c r="AW407" i="1"/>
  <c r="AF407" i="1"/>
  <c r="E407" i="1"/>
  <c r="BS407" i="1" s="1"/>
  <c r="BT406" i="1"/>
  <c r="AW406" i="1"/>
  <c r="AF406" i="1"/>
  <c r="E406" i="1"/>
  <c r="BS406" i="1" s="1"/>
  <c r="BT405" i="1"/>
  <c r="AW405" i="1"/>
  <c r="AF405" i="1"/>
  <c r="E405" i="1"/>
  <c r="BS405" i="1" s="1"/>
  <c r="BT404" i="1"/>
  <c r="AW404" i="1"/>
  <c r="AF404" i="1"/>
  <c r="E404" i="1"/>
  <c r="BS404" i="1" s="1"/>
  <c r="BT403" i="1"/>
  <c r="AW403" i="1"/>
  <c r="AF403" i="1"/>
  <c r="E403" i="1"/>
  <c r="BS403" i="1" s="1"/>
  <c r="BT402" i="1"/>
  <c r="BS402" i="1"/>
  <c r="E402" i="1"/>
  <c r="BT401" i="1"/>
  <c r="BS401" i="1"/>
  <c r="AW401" i="1"/>
  <c r="AF401" i="1"/>
  <c r="E401" i="1"/>
  <c r="BT400" i="1"/>
  <c r="BS400" i="1"/>
  <c r="AW400" i="1"/>
  <c r="AF400" i="1"/>
  <c r="E400" i="1"/>
  <c r="BT399" i="1"/>
  <c r="BS399" i="1"/>
  <c r="AW399" i="1"/>
  <c r="AF399" i="1"/>
  <c r="E399" i="1"/>
  <c r="BT398" i="1"/>
  <c r="BS398" i="1"/>
  <c r="AW398" i="1"/>
  <c r="AF398" i="1"/>
  <c r="E398" i="1"/>
  <c r="BT397" i="1"/>
  <c r="AW397" i="1"/>
  <c r="AF397" i="1"/>
  <c r="E397" i="1"/>
  <c r="BS397" i="1" s="1"/>
  <c r="BT396" i="1"/>
  <c r="AW396" i="1"/>
  <c r="AF396" i="1"/>
  <c r="E396" i="1"/>
  <c r="BS396" i="1" s="1"/>
  <c r="BT395" i="1"/>
  <c r="AW395" i="1"/>
  <c r="AF395" i="1"/>
  <c r="E395" i="1"/>
  <c r="BS395" i="1" s="1"/>
  <c r="BT394" i="1"/>
  <c r="AW394" i="1"/>
  <c r="AF394" i="1"/>
  <c r="E394" i="1"/>
  <c r="BS394" i="1" s="1"/>
  <c r="BT393" i="1"/>
  <c r="AW393" i="1"/>
  <c r="AF393" i="1"/>
  <c r="E393" i="1"/>
  <c r="BS393" i="1" s="1"/>
  <c r="BT392" i="1"/>
  <c r="AW392" i="1"/>
  <c r="AF392" i="1"/>
  <c r="E392" i="1"/>
  <c r="BS392" i="1" s="1"/>
  <c r="BT391" i="1"/>
  <c r="AW391" i="1"/>
  <c r="AF391" i="1"/>
  <c r="E391" i="1"/>
  <c r="BS391" i="1" s="1"/>
  <c r="BT390" i="1"/>
  <c r="BS390" i="1"/>
  <c r="AW390" i="1"/>
  <c r="AF390" i="1"/>
  <c r="E390" i="1"/>
  <c r="BT389" i="1"/>
  <c r="BS389" i="1"/>
  <c r="AW389" i="1"/>
  <c r="AF389" i="1"/>
  <c r="E389" i="1"/>
  <c r="BT388" i="1"/>
  <c r="BS388" i="1"/>
  <c r="AW388" i="1"/>
  <c r="AF388" i="1"/>
  <c r="E388" i="1"/>
  <c r="BT387" i="1"/>
  <c r="BS387" i="1"/>
  <c r="AW387" i="1"/>
  <c r="AF387" i="1"/>
  <c r="E387" i="1"/>
  <c r="BT386" i="1"/>
  <c r="BS386" i="1"/>
  <c r="AW386" i="1"/>
  <c r="AF386" i="1"/>
  <c r="E386" i="1"/>
  <c r="BT385" i="1"/>
  <c r="AW385" i="1"/>
  <c r="AF385" i="1"/>
  <c r="E385" i="1"/>
  <c r="BS385" i="1" s="1"/>
  <c r="BT384" i="1"/>
  <c r="AW384" i="1"/>
  <c r="AF384" i="1"/>
  <c r="E384" i="1"/>
  <c r="BS384" i="1" s="1"/>
  <c r="BT378" i="1"/>
  <c r="AW378" i="1"/>
  <c r="AF378" i="1"/>
  <c r="E378" i="1"/>
  <c r="BS378" i="1" s="1"/>
  <c r="BT377" i="1"/>
  <c r="AW377" i="1"/>
  <c r="AF377" i="1"/>
  <c r="E377" i="1"/>
  <c r="BS377" i="1" s="1"/>
  <c r="BT376" i="1"/>
  <c r="AW376" i="1"/>
  <c r="AF376" i="1"/>
  <c r="E376" i="1"/>
  <c r="BS376" i="1" s="1"/>
  <c r="BT375" i="1"/>
  <c r="AW375" i="1"/>
  <c r="AF375" i="1"/>
  <c r="E375" i="1"/>
  <c r="BS375" i="1" s="1"/>
  <c r="BT374" i="1"/>
  <c r="AW374" i="1"/>
  <c r="AF374" i="1"/>
  <c r="E374" i="1"/>
  <c r="BS374" i="1" s="1"/>
  <c r="BT373" i="1"/>
  <c r="BS373" i="1"/>
  <c r="AW373" i="1"/>
  <c r="AF373" i="1"/>
  <c r="E373" i="1"/>
  <c r="BT372" i="1"/>
  <c r="BS372" i="1"/>
  <c r="AW372" i="1"/>
  <c r="AF372" i="1"/>
  <c r="E372" i="1"/>
  <c r="BT371" i="1"/>
  <c r="BS371" i="1"/>
  <c r="AW371" i="1"/>
  <c r="AF371" i="1"/>
  <c r="E371" i="1"/>
  <c r="BT370" i="1"/>
  <c r="BS370" i="1"/>
  <c r="AW370" i="1"/>
  <c r="AF370" i="1"/>
  <c r="E370" i="1"/>
  <c r="BT369" i="1"/>
  <c r="BS369" i="1"/>
  <c r="AW369" i="1"/>
  <c r="AF369" i="1"/>
  <c r="E369" i="1"/>
  <c r="BU363" i="1"/>
  <c r="BT363" i="1"/>
  <c r="H363" i="1"/>
  <c r="G363" i="1"/>
  <c r="E363" i="1"/>
  <c r="BS363" i="1" s="1"/>
  <c r="BU362" i="1"/>
  <c r="BT362" i="1"/>
  <c r="BS362" i="1"/>
  <c r="H362" i="1"/>
  <c r="G362" i="1"/>
  <c r="E362" i="1"/>
  <c r="BU361" i="1"/>
  <c r="BT361" i="1"/>
  <c r="H361" i="1"/>
  <c r="G361" i="1"/>
  <c r="E361" i="1"/>
  <c r="BS361" i="1" s="1"/>
  <c r="BU360" i="1"/>
  <c r="BT360" i="1"/>
  <c r="BS360" i="1"/>
  <c r="H360" i="1"/>
  <c r="G360" i="1"/>
  <c r="E360" i="1"/>
  <c r="BU359" i="1"/>
  <c r="BT359" i="1"/>
  <c r="H359" i="1"/>
  <c r="G359" i="1"/>
  <c r="E359" i="1"/>
  <c r="BS359" i="1" s="1"/>
  <c r="BU358" i="1"/>
  <c r="BT358" i="1"/>
  <c r="BS358" i="1"/>
  <c r="H358" i="1"/>
  <c r="G358" i="1"/>
  <c r="E358" i="1"/>
  <c r="BU357" i="1"/>
  <c r="BT357" i="1"/>
  <c r="H357" i="1"/>
  <c r="G357" i="1"/>
  <c r="E357" i="1"/>
  <c r="BS357" i="1" s="1"/>
  <c r="CL356" i="1"/>
  <c r="BU356" i="1"/>
  <c r="BT356" i="1"/>
  <c r="E356" i="1"/>
  <c r="BS356" i="1" s="1"/>
  <c r="CL355" i="1"/>
  <c r="BU355" i="1"/>
  <c r="BT355" i="1"/>
  <c r="BS355" i="1"/>
  <c r="E355" i="1"/>
  <c r="CL354" i="1"/>
  <c r="BU354" i="1"/>
  <c r="BT354" i="1"/>
  <c r="E354" i="1"/>
  <c r="BS354" i="1" s="1"/>
  <c r="CL353" i="1"/>
  <c r="BU353" i="1"/>
  <c r="BT353" i="1"/>
  <c r="BS353" i="1"/>
  <c r="E353" i="1"/>
  <c r="CL352" i="1"/>
  <c r="BU352" i="1"/>
  <c r="BT352" i="1"/>
  <c r="BS352" i="1"/>
  <c r="E352" i="1"/>
  <c r="CL351" i="1"/>
  <c r="BU351" i="1"/>
  <c r="BT351" i="1"/>
  <c r="BS351" i="1"/>
  <c r="E351" i="1"/>
  <c r="CL350" i="1"/>
  <c r="BU350" i="1"/>
  <c r="BT350" i="1"/>
  <c r="BS350" i="1"/>
  <c r="E350" i="1"/>
  <c r="BU349" i="1"/>
  <c r="BT349" i="1"/>
  <c r="E349" i="1"/>
  <c r="BS349" i="1" s="1"/>
  <c r="BU348" i="1"/>
  <c r="BT348" i="1"/>
  <c r="E348" i="1"/>
  <c r="BS348" i="1" s="1"/>
  <c r="BU347" i="1"/>
  <c r="BT347" i="1"/>
  <c r="BS347" i="1"/>
  <c r="E347" i="1"/>
  <c r="BU341" i="1"/>
  <c r="BT341" i="1"/>
  <c r="H341" i="1"/>
  <c r="G341" i="1"/>
  <c r="E341" i="1"/>
  <c r="BS341" i="1" s="1"/>
  <c r="BU340" i="1"/>
  <c r="BT340" i="1"/>
  <c r="H340" i="1"/>
  <c r="G340" i="1"/>
  <c r="E340" i="1"/>
  <c r="BS340" i="1" s="1"/>
  <c r="BU339" i="1"/>
  <c r="BT339" i="1"/>
  <c r="H339" i="1"/>
  <c r="G339" i="1"/>
  <c r="E339" i="1"/>
  <c r="BS339" i="1" s="1"/>
  <c r="BU338" i="1"/>
  <c r="BT338" i="1"/>
  <c r="H338" i="1"/>
  <c r="G338" i="1"/>
  <c r="E338" i="1"/>
  <c r="BS338" i="1" s="1"/>
  <c r="BU337" i="1"/>
  <c r="BT337" i="1"/>
  <c r="H337" i="1"/>
  <c r="G337" i="1"/>
  <c r="E337" i="1"/>
  <c r="BS337" i="1" s="1"/>
  <c r="BU336" i="1"/>
  <c r="BT336" i="1"/>
  <c r="H336" i="1"/>
  <c r="G336" i="1"/>
  <c r="E336" i="1"/>
  <c r="BS336" i="1" s="1"/>
  <c r="BU335" i="1"/>
  <c r="BT335" i="1"/>
  <c r="H335" i="1"/>
  <c r="G335" i="1"/>
  <c r="E335" i="1"/>
  <c r="BS335" i="1" s="1"/>
  <c r="BU334" i="1"/>
  <c r="BT334" i="1"/>
  <c r="H334" i="1"/>
  <c r="G334" i="1"/>
  <c r="E334" i="1"/>
  <c r="BS334" i="1" s="1"/>
  <c r="BU333" i="1"/>
  <c r="BT333" i="1"/>
  <c r="H333" i="1"/>
  <c r="G333" i="1"/>
  <c r="E333" i="1"/>
  <c r="BS333" i="1" s="1"/>
  <c r="BU332" i="1"/>
  <c r="BT332" i="1"/>
  <c r="H332" i="1"/>
  <c r="G332" i="1"/>
  <c r="E332" i="1"/>
  <c r="BS332" i="1" s="1"/>
  <c r="BT326" i="1"/>
  <c r="AW326" i="1"/>
  <c r="AF326" i="1"/>
  <c r="E326" i="1"/>
  <c r="BS326" i="1" s="1"/>
  <c r="BT325" i="1"/>
  <c r="AW325" i="1"/>
  <c r="AF325" i="1"/>
  <c r="E325" i="1"/>
  <c r="BS325" i="1" s="1"/>
  <c r="BT324" i="1"/>
  <c r="AW324" i="1"/>
  <c r="AF324" i="1"/>
  <c r="E324" i="1"/>
  <c r="BS324" i="1" s="1"/>
  <c r="BT323" i="1"/>
  <c r="AW323" i="1"/>
  <c r="AF323" i="1"/>
  <c r="E323" i="1"/>
  <c r="BS323" i="1" s="1"/>
  <c r="BT322" i="1"/>
  <c r="AW322" i="1"/>
  <c r="AF322" i="1"/>
  <c r="E322" i="1"/>
  <c r="BS322" i="1" s="1"/>
  <c r="BT321" i="1"/>
  <c r="AW321" i="1"/>
  <c r="AF321" i="1"/>
  <c r="E321" i="1"/>
  <c r="BS321" i="1" s="1"/>
  <c r="BT320" i="1"/>
  <c r="BS320" i="1"/>
  <c r="AW320" i="1"/>
  <c r="E320" i="1"/>
  <c r="BT319" i="1"/>
  <c r="AW319" i="1"/>
  <c r="AF319" i="1"/>
  <c r="E319" i="1"/>
  <c r="BS319" i="1" s="1"/>
  <c r="BT318" i="1"/>
  <c r="AW318" i="1"/>
  <c r="AF318" i="1"/>
  <c r="E318" i="1"/>
  <c r="BS318" i="1" s="1"/>
  <c r="BT317" i="1"/>
  <c r="AW317" i="1"/>
  <c r="AF317" i="1"/>
  <c r="E317" i="1"/>
  <c r="BS317" i="1" s="1"/>
  <c r="BW316" i="1"/>
  <c r="BV316" i="1"/>
  <c r="BT316" i="1"/>
  <c r="AW316" i="1"/>
  <c r="AF316" i="1"/>
  <c r="E316" i="1"/>
  <c r="BS316" i="1" s="1"/>
  <c r="BW315" i="1"/>
  <c r="BV315" i="1"/>
  <c r="BT315" i="1"/>
  <c r="AW315" i="1"/>
  <c r="AF315" i="1"/>
  <c r="E315" i="1"/>
  <c r="BS315" i="1" s="1"/>
  <c r="BW314" i="1"/>
  <c r="BV314" i="1"/>
  <c r="BT314" i="1"/>
  <c r="AW314" i="1"/>
  <c r="AF314" i="1"/>
  <c r="E314" i="1"/>
  <c r="BS314" i="1" s="1"/>
  <c r="BW313" i="1"/>
  <c r="BV313" i="1"/>
  <c r="BT313" i="1"/>
  <c r="AW313" i="1"/>
  <c r="AF313" i="1"/>
  <c r="E313" i="1"/>
  <c r="BS313" i="1" s="1"/>
  <c r="BW312" i="1"/>
  <c r="BV312" i="1"/>
  <c r="BT312" i="1"/>
  <c r="AW312" i="1"/>
  <c r="AF312" i="1"/>
  <c r="E312" i="1"/>
  <c r="BS312" i="1" s="1"/>
  <c r="BW311" i="1"/>
  <c r="BV311" i="1"/>
  <c r="BT311" i="1"/>
  <c r="BS311" i="1"/>
  <c r="AW311" i="1"/>
  <c r="AF311" i="1"/>
  <c r="E311" i="1"/>
  <c r="BT305" i="1"/>
  <c r="AW305" i="1"/>
  <c r="AF305" i="1"/>
  <c r="E305" i="1"/>
  <c r="BS305" i="1" s="1"/>
  <c r="BT304" i="1"/>
  <c r="AW304" i="1"/>
  <c r="AF304" i="1"/>
  <c r="E304" i="1"/>
  <c r="BS304" i="1" s="1"/>
  <c r="BT303" i="1"/>
  <c r="AW303" i="1"/>
  <c r="AF303" i="1"/>
  <c r="E303" i="1"/>
  <c r="BS303" i="1" s="1"/>
  <c r="BT302" i="1"/>
  <c r="AW302" i="1"/>
  <c r="AF302" i="1"/>
  <c r="E302" i="1"/>
  <c r="BS302" i="1" s="1"/>
  <c r="BT301" i="1"/>
  <c r="AW301" i="1"/>
  <c r="AF301" i="1"/>
  <c r="E301" i="1"/>
  <c r="BS301" i="1" s="1"/>
  <c r="BT300" i="1"/>
  <c r="AW300" i="1"/>
  <c r="AF300" i="1"/>
  <c r="E300" i="1"/>
  <c r="BS300" i="1" s="1"/>
  <c r="BT299" i="1"/>
  <c r="AW299" i="1"/>
  <c r="AF299" i="1"/>
  <c r="E299" i="1"/>
  <c r="BS299" i="1" s="1"/>
  <c r="BT298" i="1"/>
  <c r="BS298" i="1"/>
  <c r="AW298" i="1"/>
  <c r="AF298" i="1"/>
  <c r="E298" i="1"/>
  <c r="BT297" i="1"/>
  <c r="BS297" i="1"/>
  <c r="AW297" i="1"/>
  <c r="AF297" i="1"/>
  <c r="E297" i="1"/>
  <c r="BT296" i="1"/>
  <c r="BS296" i="1"/>
  <c r="AW296" i="1"/>
  <c r="AF296" i="1"/>
  <c r="E296" i="1"/>
  <c r="BT295" i="1"/>
  <c r="BS295" i="1"/>
  <c r="AW295" i="1"/>
  <c r="AF295" i="1"/>
  <c r="E295" i="1"/>
  <c r="BT294" i="1"/>
  <c r="BS294" i="1"/>
  <c r="AW294" i="1"/>
  <c r="AF294" i="1"/>
  <c r="E294" i="1"/>
  <c r="BT293" i="1"/>
  <c r="AW293" i="1"/>
  <c r="AF293" i="1"/>
  <c r="E293" i="1"/>
  <c r="BS293" i="1" s="1"/>
  <c r="BT292" i="1"/>
  <c r="AW292" i="1"/>
  <c r="AF292" i="1"/>
  <c r="E292" i="1"/>
  <c r="BS292" i="1" s="1"/>
  <c r="BT291" i="1"/>
  <c r="AW291" i="1"/>
  <c r="AF291" i="1"/>
  <c r="E291" i="1"/>
  <c r="BS291" i="1" s="1"/>
  <c r="BT290" i="1"/>
  <c r="AW290" i="1"/>
  <c r="AF290" i="1"/>
  <c r="E290" i="1"/>
  <c r="BS290" i="1" s="1"/>
  <c r="BT289" i="1"/>
  <c r="AW289" i="1"/>
  <c r="AF289" i="1"/>
  <c r="E289" i="1"/>
  <c r="BS289" i="1" s="1"/>
  <c r="BT288" i="1"/>
  <c r="AW288" i="1"/>
  <c r="AF288" i="1"/>
  <c r="E288" i="1"/>
  <c r="BS288" i="1" s="1"/>
  <c r="BT287" i="1"/>
  <c r="AW287" i="1"/>
  <c r="AF287" i="1"/>
  <c r="E287" i="1"/>
  <c r="BS287" i="1" s="1"/>
  <c r="BT286" i="1"/>
  <c r="BS286" i="1"/>
  <c r="AW286" i="1"/>
  <c r="AF286" i="1"/>
  <c r="E286" i="1"/>
  <c r="BT280" i="1"/>
  <c r="BS280" i="1"/>
  <c r="AY280" i="1"/>
  <c r="AX280" i="1"/>
  <c r="AW280" i="1"/>
  <c r="AF280" i="1"/>
  <c r="E280" i="1"/>
  <c r="BT279" i="1"/>
  <c r="AY279" i="1"/>
  <c r="AX279" i="1"/>
  <c r="AW279" i="1"/>
  <c r="AF279" i="1"/>
  <c r="E279" i="1"/>
  <c r="BS279" i="1" s="1"/>
  <c r="BT278" i="1"/>
  <c r="AY278" i="1"/>
  <c r="AX278" i="1"/>
  <c r="AW278" i="1"/>
  <c r="AF278" i="1"/>
  <c r="E278" i="1"/>
  <c r="BS278" i="1" s="1"/>
  <c r="BT277" i="1"/>
  <c r="AY277" i="1"/>
  <c r="AX277" i="1"/>
  <c r="AW277" i="1"/>
  <c r="AF277" i="1"/>
  <c r="E277" i="1"/>
  <c r="BS277" i="1" s="1"/>
  <c r="BT276" i="1"/>
  <c r="AY276" i="1"/>
  <c r="AX276" i="1"/>
  <c r="AW276" i="1"/>
  <c r="AF276" i="1"/>
  <c r="E276" i="1"/>
  <c r="BS276" i="1" s="1"/>
  <c r="BT275" i="1"/>
  <c r="AY275" i="1"/>
  <c r="AX275" i="1"/>
  <c r="AW275" i="1"/>
  <c r="AF275" i="1"/>
  <c r="E275" i="1"/>
  <c r="BS275" i="1" s="1"/>
  <c r="BT274" i="1"/>
  <c r="AY274" i="1"/>
  <c r="AX274" i="1"/>
  <c r="AW274" i="1"/>
  <c r="AF274" i="1"/>
  <c r="E274" i="1"/>
  <c r="BS274" i="1" s="1"/>
  <c r="BT273" i="1"/>
  <c r="BS273" i="1"/>
  <c r="AY273" i="1"/>
  <c r="AX273" i="1"/>
  <c r="AW273" i="1"/>
  <c r="AF273" i="1"/>
  <c r="E273" i="1"/>
  <c r="BT272" i="1"/>
  <c r="AY272" i="1"/>
  <c r="AX272" i="1"/>
  <c r="AW272" i="1"/>
  <c r="AF272" i="1"/>
  <c r="E272" i="1"/>
  <c r="BS272" i="1" s="1"/>
  <c r="BT271" i="1"/>
  <c r="BS271" i="1"/>
  <c r="AY271" i="1"/>
  <c r="AX271" i="1"/>
  <c r="AW271" i="1"/>
  <c r="AF271" i="1"/>
  <c r="E271" i="1"/>
  <c r="BT270" i="1"/>
  <c r="AX270" i="1"/>
  <c r="AW270" i="1"/>
  <c r="AF270" i="1"/>
  <c r="E270" i="1"/>
  <c r="BS270" i="1" s="1"/>
  <c r="BT269" i="1"/>
  <c r="BS269" i="1"/>
  <c r="AX269" i="1"/>
  <c r="AW269" i="1"/>
  <c r="AF269" i="1"/>
  <c r="E269" i="1"/>
  <c r="BT268" i="1"/>
  <c r="AX268" i="1"/>
  <c r="AW268" i="1"/>
  <c r="AF268" i="1"/>
  <c r="E268" i="1"/>
  <c r="BS268" i="1" s="1"/>
  <c r="BT267" i="1"/>
  <c r="BS267" i="1"/>
  <c r="AX267" i="1"/>
  <c r="AW267" i="1"/>
  <c r="AF267" i="1"/>
  <c r="E267" i="1"/>
  <c r="BT266" i="1"/>
  <c r="AX266" i="1"/>
  <c r="AW266" i="1"/>
  <c r="AF266" i="1"/>
  <c r="E266" i="1"/>
  <c r="BS266" i="1" s="1"/>
  <c r="BT260" i="1"/>
  <c r="BS260" i="1"/>
  <c r="AF260" i="1"/>
  <c r="BT259" i="1"/>
  <c r="BS259" i="1"/>
  <c r="AF259" i="1"/>
  <c r="BT258" i="1"/>
  <c r="BS258" i="1"/>
  <c r="AF258" i="1"/>
  <c r="BT257" i="1"/>
  <c r="BS257" i="1"/>
  <c r="AF257" i="1"/>
  <c r="BT256" i="1"/>
  <c r="BS256" i="1"/>
  <c r="AF256" i="1"/>
  <c r="BT255" i="1"/>
  <c r="AW255" i="1"/>
  <c r="AF255" i="1"/>
  <c r="E255" i="1"/>
  <c r="BS255" i="1" s="1"/>
  <c r="BT254" i="1"/>
  <c r="BS254" i="1"/>
  <c r="AW254" i="1"/>
  <c r="AF254" i="1"/>
  <c r="E254" i="1"/>
  <c r="BT253" i="1"/>
  <c r="BS253" i="1"/>
  <c r="AW253" i="1"/>
  <c r="AF253" i="1"/>
  <c r="E253" i="1"/>
  <c r="BT252" i="1"/>
  <c r="BS252" i="1"/>
  <c r="AW252" i="1"/>
  <c r="AF252" i="1"/>
  <c r="E252" i="1"/>
  <c r="BT251" i="1"/>
  <c r="AW251" i="1"/>
  <c r="AF251" i="1"/>
  <c r="E251" i="1"/>
  <c r="BS251" i="1" s="1"/>
  <c r="BT250" i="1"/>
  <c r="BS250" i="1"/>
  <c r="AW250" i="1"/>
  <c r="AF250" i="1"/>
  <c r="E250" i="1"/>
  <c r="BT249" i="1"/>
  <c r="BS249" i="1"/>
  <c r="AW249" i="1"/>
  <c r="AF249" i="1"/>
  <c r="E249" i="1"/>
  <c r="BT248" i="1"/>
  <c r="BS248" i="1"/>
  <c r="AW248" i="1"/>
  <c r="AF248" i="1"/>
  <c r="E248" i="1"/>
  <c r="BT247" i="1"/>
  <c r="BS247" i="1"/>
  <c r="AW247" i="1"/>
  <c r="AF247" i="1"/>
  <c r="E247" i="1"/>
  <c r="BT246" i="1"/>
  <c r="BS246" i="1"/>
  <c r="AW246" i="1"/>
  <c r="AF246" i="1"/>
  <c r="E246" i="1"/>
  <c r="BT245" i="1"/>
  <c r="BS245" i="1"/>
  <c r="AW245" i="1"/>
  <c r="AF245" i="1"/>
  <c r="E245" i="1"/>
  <c r="BT244" i="1"/>
  <c r="AW244" i="1"/>
  <c r="AF244" i="1"/>
  <c r="E244" i="1"/>
  <c r="BS244" i="1" s="1"/>
  <c r="BT243" i="1"/>
  <c r="AW243" i="1"/>
  <c r="AF243" i="1"/>
  <c r="E243" i="1"/>
  <c r="BS243" i="1" s="1"/>
  <c r="BT242" i="1"/>
  <c r="AW242" i="1"/>
  <c r="AF242" i="1"/>
  <c r="E242" i="1"/>
  <c r="BS242" i="1" s="1"/>
  <c r="BT241" i="1"/>
  <c r="AW241" i="1"/>
  <c r="AF241" i="1"/>
  <c r="E241" i="1"/>
  <c r="BS241" i="1" s="1"/>
  <c r="BT240" i="1"/>
  <c r="AW240" i="1"/>
  <c r="AF240" i="1"/>
  <c r="E240" i="1"/>
  <c r="BS240" i="1" s="1"/>
  <c r="BT233" i="1"/>
  <c r="BS233" i="1"/>
  <c r="AW233" i="1"/>
  <c r="AF233" i="1"/>
  <c r="E233" i="1"/>
  <c r="BT232" i="1"/>
  <c r="BS232" i="1"/>
  <c r="AW232" i="1"/>
  <c r="AF232" i="1"/>
  <c r="E232" i="1"/>
  <c r="BT231" i="1"/>
  <c r="AW231" i="1"/>
  <c r="AF231" i="1"/>
  <c r="E231" i="1"/>
  <c r="BS231" i="1" s="1"/>
  <c r="BT230" i="1"/>
  <c r="BS230" i="1"/>
  <c r="AW230" i="1"/>
  <c r="AF230" i="1"/>
  <c r="E230" i="1"/>
  <c r="BT229" i="1"/>
  <c r="AW229" i="1"/>
  <c r="AF229" i="1"/>
  <c r="E229" i="1"/>
  <c r="BS229" i="1" s="1"/>
  <c r="BT228" i="1"/>
  <c r="AW228" i="1"/>
  <c r="AF228" i="1"/>
  <c r="E228" i="1"/>
  <c r="BS228" i="1" s="1"/>
  <c r="BT227" i="1"/>
  <c r="AW227" i="1"/>
  <c r="AF227" i="1"/>
  <c r="E227" i="1"/>
  <c r="BS227" i="1" s="1"/>
  <c r="BT226" i="1"/>
  <c r="AW226" i="1"/>
  <c r="AF226" i="1"/>
  <c r="E226" i="1"/>
  <c r="BS226" i="1" s="1"/>
  <c r="BT225" i="1"/>
  <c r="AW225" i="1"/>
  <c r="AF225" i="1"/>
  <c r="E225" i="1"/>
  <c r="BS225" i="1" s="1"/>
  <c r="BT224" i="1"/>
  <c r="AW224" i="1"/>
  <c r="AF224" i="1"/>
  <c r="E224" i="1"/>
  <c r="BS224" i="1" s="1"/>
  <c r="BT223" i="1"/>
  <c r="AW223" i="1"/>
  <c r="AF223" i="1"/>
  <c r="E223" i="1"/>
  <c r="BS223" i="1" s="1"/>
  <c r="BT222" i="1"/>
  <c r="BS222" i="1"/>
  <c r="AW222" i="1"/>
  <c r="AF222" i="1"/>
  <c r="E222" i="1"/>
  <c r="BT221" i="1"/>
  <c r="BS221" i="1"/>
  <c r="AW221" i="1"/>
  <c r="AF221" i="1"/>
  <c r="E221" i="1"/>
  <c r="BT220" i="1"/>
  <c r="BS220" i="1"/>
  <c r="AW220" i="1"/>
  <c r="AF220" i="1"/>
  <c r="E220" i="1"/>
  <c r="BT219" i="1"/>
  <c r="BS219" i="1"/>
  <c r="AW219" i="1"/>
  <c r="AF219" i="1"/>
  <c r="E219" i="1"/>
  <c r="BT213" i="1"/>
  <c r="BS213" i="1"/>
  <c r="AW213" i="1"/>
  <c r="AF213" i="1"/>
  <c r="E213" i="1"/>
  <c r="BT212" i="1"/>
  <c r="BS212" i="1"/>
  <c r="AW212" i="1"/>
  <c r="AF212" i="1"/>
  <c r="E212" i="1"/>
  <c r="BT211" i="1"/>
  <c r="BS211" i="1"/>
  <c r="AW211" i="1"/>
  <c r="AF211" i="1"/>
  <c r="E211" i="1"/>
  <c r="BT210" i="1"/>
  <c r="AW210" i="1"/>
  <c r="AF210" i="1"/>
  <c r="E210" i="1"/>
  <c r="BS210" i="1" s="1"/>
  <c r="BT209" i="1"/>
  <c r="AW209" i="1"/>
  <c r="AF209" i="1"/>
  <c r="E209" i="1"/>
  <c r="BS209" i="1" s="1"/>
  <c r="BT208" i="1"/>
  <c r="AW208" i="1"/>
  <c r="AF208" i="1"/>
  <c r="E208" i="1"/>
  <c r="BS208" i="1" s="1"/>
  <c r="BT207" i="1"/>
  <c r="AW207" i="1"/>
  <c r="AF207" i="1"/>
  <c r="E207" i="1"/>
  <c r="BS207" i="1" s="1"/>
  <c r="BT206" i="1"/>
  <c r="AW206" i="1"/>
  <c r="AF206" i="1"/>
  <c r="E206" i="1"/>
  <c r="BS206" i="1" s="1"/>
  <c r="BT205" i="1"/>
  <c r="AW205" i="1"/>
  <c r="AF205" i="1"/>
  <c r="E205" i="1"/>
  <c r="BS205" i="1" s="1"/>
  <c r="BT204" i="1"/>
  <c r="AW204" i="1"/>
  <c r="AF204" i="1"/>
  <c r="E204" i="1"/>
  <c r="BS204" i="1" s="1"/>
  <c r="BT203" i="1"/>
  <c r="BS203" i="1"/>
  <c r="AW203" i="1"/>
  <c r="AF203" i="1"/>
  <c r="E203" i="1"/>
  <c r="BT202" i="1"/>
  <c r="BS202" i="1"/>
  <c r="AW202" i="1"/>
  <c r="AF202" i="1"/>
  <c r="E202" i="1"/>
  <c r="BT196" i="1"/>
  <c r="BS196" i="1"/>
  <c r="AW196" i="1"/>
  <c r="AF196" i="1"/>
  <c r="E196" i="1"/>
  <c r="BT195" i="1"/>
  <c r="BS195" i="1"/>
  <c r="AW195" i="1"/>
  <c r="AF195" i="1"/>
  <c r="E195" i="1"/>
  <c r="BT194" i="1"/>
  <c r="BS194" i="1"/>
  <c r="AW194" i="1"/>
  <c r="AF194" i="1"/>
  <c r="E194" i="1"/>
  <c r="BT193" i="1"/>
  <c r="AW193" i="1"/>
  <c r="AF193" i="1"/>
  <c r="E193" i="1"/>
  <c r="BS193" i="1" s="1"/>
  <c r="BT192" i="1"/>
  <c r="AW192" i="1"/>
  <c r="AF192" i="1"/>
  <c r="E192" i="1"/>
  <c r="BS192" i="1" s="1"/>
  <c r="BT191" i="1"/>
  <c r="AW191" i="1"/>
  <c r="AF191" i="1"/>
  <c r="E191" i="1"/>
  <c r="BS191" i="1" s="1"/>
  <c r="BT190" i="1"/>
  <c r="AW190" i="1"/>
  <c r="AF190" i="1"/>
  <c r="E190" i="1"/>
  <c r="BS190" i="1" s="1"/>
  <c r="BT189" i="1"/>
  <c r="AW189" i="1"/>
  <c r="AF189" i="1"/>
  <c r="E189" i="1"/>
  <c r="BS189" i="1" s="1"/>
  <c r="BT188" i="1"/>
  <c r="AW188" i="1"/>
  <c r="AF188" i="1"/>
  <c r="E188" i="1"/>
  <c r="BS188" i="1" s="1"/>
  <c r="BT187" i="1"/>
  <c r="BS187" i="1"/>
  <c r="AF187" i="1"/>
  <c r="E187" i="1"/>
  <c r="BT186" i="1"/>
  <c r="AW186" i="1"/>
  <c r="AF186" i="1"/>
  <c r="E186" i="1"/>
  <c r="BS186" i="1" s="1"/>
  <c r="BT185" i="1"/>
  <c r="AW185" i="1"/>
  <c r="AF185" i="1"/>
  <c r="E185" i="1"/>
  <c r="BS185" i="1" s="1"/>
  <c r="BT184" i="1"/>
  <c r="AW184" i="1"/>
  <c r="AF184" i="1"/>
  <c r="E184" i="1"/>
  <c r="BS184" i="1" s="1"/>
  <c r="BT183" i="1"/>
  <c r="AW183" i="1"/>
  <c r="AF183" i="1"/>
  <c r="E183" i="1"/>
  <c r="BS183" i="1" s="1"/>
  <c r="BT182" i="1"/>
  <c r="AW182" i="1"/>
  <c r="AF182" i="1"/>
  <c r="E182" i="1"/>
  <c r="BS182" i="1" s="1"/>
  <c r="BT181" i="1"/>
  <c r="BS181" i="1"/>
  <c r="AW181" i="1"/>
  <c r="AF181" i="1"/>
  <c r="E181" i="1"/>
  <c r="BT180" i="1"/>
  <c r="BS180" i="1"/>
  <c r="AW180" i="1"/>
  <c r="AF180" i="1"/>
  <c r="BT179" i="1"/>
  <c r="AW179" i="1"/>
  <c r="AF179" i="1"/>
  <c r="E179" i="1"/>
  <c r="BS179" i="1" s="1"/>
  <c r="BS178" i="1"/>
  <c r="AW178" i="1"/>
  <c r="AF178" i="1"/>
  <c r="F178" i="1"/>
  <c r="BT178" i="1" s="1"/>
  <c r="E178" i="1"/>
  <c r="BT177" i="1"/>
  <c r="BS177" i="1"/>
  <c r="AW177" i="1"/>
  <c r="AF177" i="1"/>
  <c r="E177" i="1"/>
  <c r="BT176" i="1"/>
  <c r="AW176" i="1"/>
  <c r="AF176" i="1"/>
  <c r="E176" i="1"/>
  <c r="BS176" i="1" s="1"/>
  <c r="BT175" i="1"/>
  <c r="AW175" i="1"/>
  <c r="AF175" i="1"/>
  <c r="E175" i="1"/>
  <c r="BS175" i="1" s="1"/>
  <c r="BT174" i="1"/>
  <c r="AW174" i="1"/>
  <c r="AF174" i="1"/>
  <c r="AE174" i="1"/>
  <c r="AD174" i="1"/>
  <c r="E174" i="1"/>
  <c r="BS174" i="1" s="1"/>
  <c r="BT173" i="1"/>
  <c r="AW173" i="1"/>
  <c r="AF173" i="1"/>
  <c r="E173" i="1"/>
  <c r="BS173" i="1" s="1"/>
  <c r="BT172" i="1"/>
  <c r="AW172" i="1"/>
  <c r="AF172" i="1"/>
  <c r="AE172" i="1"/>
  <c r="AD172" i="1"/>
  <c r="E172" i="1"/>
  <c r="BS172" i="1" s="1"/>
  <c r="BT171" i="1"/>
  <c r="AW171" i="1"/>
  <c r="AF171" i="1"/>
  <c r="E171" i="1"/>
  <c r="BS171" i="1" s="1"/>
  <c r="BT170" i="1"/>
  <c r="AW170" i="1"/>
  <c r="AF170" i="1"/>
  <c r="AE170" i="1"/>
  <c r="AD170" i="1"/>
  <c r="E170" i="1"/>
  <c r="BS170" i="1" s="1"/>
  <c r="BT169" i="1"/>
  <c r="BS169" i="1"/>
  <c r="AW169" i="1"/>
  <c r="AF169" i="1"/>
  <c r="AE169" i="1"/>
  <c r="AD169" i="1"/>
  <c r="E169" i="1"/>
  <c r="BT163" i="1"/>
  <c r="AW163" i="1"/>
  <c r="AF163" i="1"/>
  <c r="E163" i="1"/>
  <c r="BS163" i="1" s="1"/>
  <c r="BT162" i="1"/>
  <c r="AW162" i="1"/>
  <c r="AF162" i="1"/>
  <c r="E162" i="1"/>
  <c r="BS162" i="1" s="1"/>
  <c r="BT161" i="1"/>
  <c r="AW161" i="1"/>
  <c r="AF161" i="1"/>
  <c r="E161" i="1"/>
  <c r="BS161" i="1" s="1"/>
  <c r="BT160" i="1"/>
  <c r="AW160" i="1"/>
  <c r="AF160" i="1"/>
  <c r="E160" i="1"/>
  <c r="BS160" i="1" s="1"/>
  <c r="BT159" i="1"/>
  <c r="AW159" i="1"/>
  <c r="AF159" i="1"/>
  <c r="E159" i="1"/>
  <c r="BS159" i="1" s="1"/>
  <c r="BT158" i="1"/>
  <c r="AW158" i="1"/>
  <c r="AF158" i="1"/>
  <c r="E158" i="1"/>
  <c r="BS158" i="1" s="1"/>
  <c r="BT157" i="1"/>
  <c r="AW157" i="1"/>
  <c r="AF157" i="1"/>
  <c r="E157" i="1"/>
  <c r="BS157" i="1" s="1"/>
  <c r="BT156" i="1"/>
  <c r="BS156" i="1"/>
  <c r="AW156" i="1"/>
  <c r="AF156" i="1"/>
  <c r="E156" i="1"/>
  <c r="BT155" i="1"/>
  <c r="BS155" i="1"/>
  <c r="AW155" i="1"/>
  <c r="AF155" i="1"/>
  <c r="E155" i="1"/>
  <c r="BT154" i="1"/>
  <c r="BS154" i="1"/>
  <c r="AW154" i="1"/>
  <c r="AF154" i="1"/>
  <c r="BT153" i="1"/>
  <c r="AW153" i="1"/>
  <c r="AF153" i="1"/>
  <c r="E153" i="1"/>
  <c r="BS153" i="1" s="1"/>
  <c r="BT152" i="1"/>
  <c r="AW152" i="1"/>
  <c r="AF152" i="1"/>
  <c r="E152" i="1"/>
  <c r="BS152" i="1" s="1"/>
  <c r="BT151" i="1"/>
  <c r="BS151" i="1"/>
  <c r="AW151" i="1"/>
  <c r="AF151" i="1"/>
  <c r="E151" i="1"/>
  <c r="BT150" i="1"/>
  <c r="BS150" i="1"/>
  <c r="AW150" i="1"/>
  <c r="AF150" i="1"/>
  <c r="E150" i="1"/>
  <c r="BT149" i="1"/>
  <c r="BS149" i="1"/>
  <c r="AW149" i="1"/>
  <c r="AF149" i="1"/>
  <c r="E149" i="1"/>
  <c r="BT148" i="1"/>
  <c r="BS148" i="1"/>
  <c r="AW148" i="1"/>
  <c r="AF148" i="1"/>
  <c r="E148" i="1"/>
  <c r="BT147" i="1"/>
  <c r="AW147" i="1"/>
  <c r="AF147" i="1"/>
  <c r="AE147" i="1"/>
  <c r="E147" i="1"/>
  <c r="BS147" i="1" s="1"/>
  <c r="BT146" i="1"/>
  <c r="BS146" i="1"/>
  <c r="AW146" i="1"/>
  <c r="AF146" i="1"/>
  <c r="AE146" i="1"/>
  <c r="E146" i="1"/>
  <c r="BT145" i="1"/>
  <c r="AW145" i="1"/>
  <c r="AF145" i="1"/>
  <c r="AE145" i="1"/>
  <c r="E145" i="1"/>
  <c r="BS145" i="1" s="1"/>
  <c r="BT144" i="1"/>
  <c r="BS144" i="1"/>
  <c r="AW144" i="1"/>
  <c r="AF144" i="1"/>
  <c r="AE144" i="1"/>
  <c r="E144" i="1"/>
  <c r="BT143" i="1"/>
  <c r="AW143" i="1"/>
  <c r="AF143" i="1"/>
  <c r="AE143" i="1"/>
  <c r="E143" i="1"/>
  <c r="BS143" i="1" s="1"/>
  <c r="BT142" i="1"/>
  <c r="BS142" i="1"/>
  <c r="AW142" i="1"/>
  <c r="AF142" i="1"/>
  <c r="AE142" i="1"/>
  <c r="E142" i="1"/>
  <c r="BU136" i="1"/>
  <c r="BT136" i="1"/>
  <c r="AW136" i="1"/>
  <c r="AF136" i="1"/>
  <c r="E136" i="1"/>
  <c r="BS136" i="1" s="1"/>
  <c r="BU135" i="1"/>
  <c r="BT135" i="1"/>
  <c r="AW135" i="1"/>
  <c r="AF135" i="1"/>
  <c r="E135" i="1"/>
  <c r="BS135" i="1" s="1"/>
  <c r="BU134" i="1"/>
  <c r="BT134" i="1"/>
  <c r="BS134" i="1"/>
  <c r="AW134" i="1"/>
  <c r="AF134" i="1"/>
  <c r="E134" i="1"/>
  <c r="BU133" i="1"/>
  <c r="BT133" i="1"/>
  <c r="AW133" i="1"/>
  <c r="AF133" i="1"/>
  <c r="E133" i="1"/>
  <c r="BS133" i="1" s="1"/>
  <c r="BU132" i="1"/>
  <c r="BT132" i="1"/>
  <c r="AW132" i="1"/>
  <c r="AF132" i="1"/>
  <c r="E132" i="1"/>
  <c r="BS132" i="1" s="1"/>
  <c r="BU131" i="1"/>
  <c r="BT131" i="1"/>
  <c r="BS131" i="1"/>
  <c r="AW131" i="1"/>
  <c r="AF131" i="1"/>
  <c r="E131" i="1"/>
  <c r="BU130" i="1"/>
  <c r="BT130" i="1"/>
  <c r="AW130" i="1"/>
  <c r="AF130" i="1"/>
  <c r="E130" i="1"/>
  <c r="BS130" i="1" s="1"/>
  <c r="BU129" i="1"/>
  <c r="BT129" i="1"/>
  <c r="AW129" i="1"/>
  <c r="AF129" i="1"/>
  <c r="E129" i="1"/>
  <c r="BS129" i="1" s="1"/>
  <c r="BU128" i="1"/>
  <c r="BT128" i="1"/>
  <c r="BS128" i="1"/>
  <c r="AW128" i="1"/>
  <c r="AF128" i="1"/>
  <c r="E128" i="1"/>
  <c r="BU127" i="1"/>
  <c r="BT127" i="1"/>
  <c r="AW127" i="1"/>
  <c r="AF127" i="1"/>
  <c r="E127" i="1"/>
  <c r="BS127" i="1" s="1"/>
  <c r="BU126" i="1"/>
  <c r="BT126" i="1"/>
  <c r="AW126" i="1"/>
  <c r="AF126" i="1"/>
  <c r="E126" i="1"/>
  <c r="BS126" i="1" s="1"/>
  <c r="BU125" i="1"/>
  <c r="BT125" i="1"/>
  <c r="BS125" i="1"/>
  <c r="AW125" i="1"/>
  <c r="AF125" i="1"/>
  <c r="E125" i="1"/>
  <c r="BU124" i="1"/>
  <c r="BT124" i="1"/>
  <c r="AW124" i="1"/>
  <c r="AF124" i="1"/>
  <c r="E124" i="1"/>
  <c r="BS124" i="1" s="1"/>
  <c r="BU123" i="1"/>
  <c r="BT123" i="1"/>
  <c r="AW123" i="1"/>
  <c r="AF123" i="1"/>
  <c r="E123" i="1"/>
  <c r="BS123" i="1" s="1"/>
  <c r="BU122" i="1"/>
  <c r="BT122" i="1"/>
  <c r="BS122" i="1"/>
  <c r="AW122" i="1"/>
  <c r="AF122" i="1"/>
  <c r="E122" i="1"/>
  <c r="BW116" i="1"/>
  <c r="BV116" i="1"/>
  <c r="BU116" i="1"/>
  <c r="BT116" i="1"/>
  <c r="AW116" i="1"/>
  <c r="AF116" i="1"/>
  <c r="E116" i="1"/>
  <c r="BS116" i="1" s="1"/>
  <c r="BU115" i="1"/>
  <c r="BW115" i="1" s="1"/>
  <c r="BT115" i="1"/>
  <c r="AW115" i="1"/>
  <c r="AF115" i="1"/>
  <c r="E115" i="1"/>
  <c r="BS115" i="1" s="1"/>
  <c r="BW114" i="1"/>
  <c r="BV114" i="1"/>
  <c r="BU114" i="1"/>
  <c r="BT114" i="1"/>
  <c r="BS114" i="1"/>
  <c r="AW114" i="1"/>
  <c r="AF114" i="1"/>
  <c r="E114" i="1"/>
  <c r="BW113" i="1"/>
  <c r="BV113" i="1"/>
  <c r="BU113" i="1"/>
  <c r="BT113" i="1"/>
  <c r="AW113" i="1"/>
  <c r="AF113" i="1"/>
  <c r="E113" i="1"/>
  <c r="BS113" i="1" s="1"/>
  <c r="BU112" i="1"/>
  <c r="BW112" i="1" s="1"/>
  <c r="BT112" i="1"/>
  <c r="BS112" i="1"/>
  <c r="AW112" i="1"/>
  <c r="AH112" i="1"/>
  <c r="AF112" i="1"/>
  <c r="E112" i="1"/>
  <c r="BW111" i="1"/>
  <c r="BU111" i="1"/>
  <c r="BV111" i="1" s="1"/>
  <c r="BT111" i="1"/>
  <c r="AW111" i="1"/>
  <c r="AF111" i="1"/>
  <c r="E111" i="1"/>
  <c r="BS111" i="1" s="1"/>
  <c r="BU110" i="1"/>
  <c r="BW110" i="1" s="1"/>
  <c r="BT110" i="1"/>
  <c r="BS110" i="1"/>
  <c r="AW110" i="1"/>
  <c r="AF110" i="1"/>
  <c r="E110" i="1"/>
  <c r="BW109" i="1"/>
  <c r="BV109" i="1"/>
  <c r="BU109" i="1"/>
  <c r="BT109" i="1"/>
  <c r="BS109" i="1"/>
  <c r="AW109" i="1"/>
  <c r="AF109" i="1"/>
  <c r="E109" i="1"/>
  <c r="BW108" i="1"/>
  <c r="BU108" i="1"/>
  <c r="BV108" i="1" s="1"/>
  <c r="BT108" i="1"/>
  <c r="AW108" i="1"/>
  <c r="AF108" i="1"/>
  <c r="E108" i="1"/>
  <c r="BS108" i="1" s="1"/>
  <c r="BU107" i="1"/>
  <c r="BW107" i="1" s="1"/>
  <c r="BT107" i="1"/>
  <c r="BS107" i="1"/>
  <c r="AW107" i="1"/>
  <c r="AF107" i="1"/>
  <c r="E107" i="1"/>
  <c r="BW106" i="1"/>
  <c r="BV106" i="1"/>
  <c r="BU106" i="1"/>
  <c r="BT106" i="1"/>
  <c r="AW106" i="1"/>
  <c r="AH106" i="1"/>
  <c r="AF106" i="1"/>
  <c r="E106" i="1"/>
  <c r="BS106" i="1" s="1"/>
  <c r="BU105" i="1"/>
  <c r="BW105" i="1" s="1"/>
  <c r="BT105" i="1"/>
  <c r="BS105" i="1"/>
  <c r="AW105" i="1"/>
  <c r="AF105" i="1"/>
  <c r="E105" i="1"/>
  <c r="BW104" i="1"/>
  <c r="BV104" i="1"/>
  <c r="BU104" i="1"/>
  <c r="BT104" i="1"/>
  <c r="AW104" i="1"/>
  <c r="AH104" i="1"/>
  <c r="AF104" i="1"/>
  <c r="E104" i="1"/>
  <c r="BS104" i="1" s="1"/>
  <c r="BU103" i="1"/>
  <c r="BW103" i="1" s="1"/>
  <c r="BT103" i="1"/>
  <c r="BS103" i="1"/>
  <c r="AW103" i="1"/>
  <c r="AH103" i="1"/>
  <c r="AF103" i="1"/>
  <c r="E103" i="1"/>
  <c r="BU102" i="1"/>
  <c r="BW102" i="1" s="1"/>
  <c r="BT102" i="1"/>
  <c r="BS102" i="1"/>
  <c r="AW102" i="1"/>
  <c r="AH102" i="1"/>
  <c r="AF102" i="1"/>
  <c r="E102" i="1"/>
  <c r="BW101" i="1"/>
  <c r="BU101" i="1"/>
  <c r="BV101" i="1" s="1"/>
  <c r="BT101" i="1"/>
  <c r="AW101" i="1"/>
  <c r="AH101" i="1"/>
  <c r="AF101" i="1"/>
  <c r="E101" i="1"/>
  <c r="BS101" i="1" s="1"/>
  <c r="BW100" i="1"/>
  <c r="BV100" i="1"/>
  <c r="BU100" i="1"/>
  <c r="BT100" i="1"/>
  <c r="AW100" i="1"/>
  <c r="AH100" i="1"/>
  <c r="AF100" i="1"/>
  <c r="E100" i="1"/>
  <c r="BS100" i="1" s="1"/>
  <c r="BU99" i="1"/>
  <c r="BW99" i="1" s="1"/>
  <c r="BT99" i="1"/>
  <c r="BS99" i="1"/>
  <c r="AW99" i="1"/>
  <c r="AF99" i="1"/>
  <c r="E99" i="1"/>
  <c r="BW98" i="1"/>
  <c r="BV98" i="1"/>
  <c r="BU98" i="1"/>
  <c r="BT98" i="1"/>
  <c r="AW98" i="1"/>
  <c r="AF98" i="1"/>
  <c r="E98" i="1"/>
  <c r="BS98" i="1" s="1"/>
  <c r="BU97" i="1"/>
  <c r="BW97" i="1" s="1"/>
  <c r="BT97" i="1"/>
  <c r="AW97" i="1"/>
  <c r="AF97" i="1"/>
  <c r="E97" i="1"/>
  <c r="BS97" i="1" s="1"/>
  <c r="BU96" i="1"/>
  <c r="BW96" i="1" s="1"/>
  <c r="BT96" i="1"/>
  <c r="AW96" i="1"/>
  <c r="AF96" i="1"/>
  <c r="E96" i="1"/>
  <c r="BV95" i="1"/>
  <c r="BU95" i="1"/>
  <c r="BW95" i="1" s="1"/>
  <c r="BT95" i="1"/>
  <c r="BS95" i="1"/>
  <c r="AW95" i="1"/>
  <c r="AF95" i="1"/>
  <c r="E95" i="1"/>
  <c r="BY89" i="1"/>
  <c r="BW89" i="1"/>
  <c r="BV89" i="1"/>
  <c r="BX89" i="1" s="1"/>
  <c r="BU89" i="1"/>
  <c r="BT89" i="1"/>
  <c r="BS89" i="1"/>
  <c r="AW89" i="1"/>
  <c r="AF89" i="1"/>
  <c r="E89" i="1"/>
  <c r="BU88" i="1"/>
  <c r="BW88" i="1" s="1"/>
  <c r="BT88" i="1"/>
  <c r="AW88" i="1"/>
  <c r="AF88" i="1"/>
  <c r="E88" i="1"/>
  <c r="BS88" i="1" s="1"/>
  <c r="BW87" i="1"/>
  <c r="BY87" i="1" s="1"/>
  <c r="CA87" i="1" s="1"/>
  <c r="CC87" i="1" s="1"/>
  <c r="BU87" i="1"/>
  <c r="BV87" i="1" s="1"/>
  <c r="BT87" i="1"/>
  <c r="AW87" i="1"/>
  <c r="AF87" i="1"/>
  <c r="E87" i="1"/>
  <c r="BS87" i="1" s="1"/>
  <c r="BU86" i="1"/>
  <c r="BW86" i="1" s="1"/>
  <c r="BT86" i="1"/>
  <c r="BS86" i="1"/>
  <c r="BA86" i="1"/>
  <c r="AZ86" i="1"/>
  <c r="AY86" i="1"/>
  <c r="AX86" i="1"/>
  <c r="AW86" i="1"/>
  <c r="AF86" i="1"/>
  <c r="E86" i="1"/>
  <c r="BW85" i="1"/>
  <c r="BY85" i="1" s="1"/>
  <c r="BU85" i="1"/>
  <c r="BV85" i="1" s="1"/>
  <c r="BX85" i="1" s="1"/>
  <c r="BT85" i="1"/>
  <c r="AW85" i="1"/>
  <c r="AF85" i="1"/>
  <c r="E85" i="1"/>
  <c r="BS85" i="1" s="1"/>
  <c r="BU84" i="1"/>
  <c r="BW84" i="1" s="1"/>
  <c r="BY84" i="1" s="1"/>
  <c r="BT84" i="1"/>
  <c r="AW84" i="1"/>
  <c r="AF84" i="1"/>
  <c r="E84" i="1"/>
  <c r="BS84" i="1" s="1"/>
  <c r="BW83" i="1"/>
  <c r="BU83" i="1"/>
  <c r="BV83" i="1" s="1"/>
  <c r="BX83" i="1" s="1"/>
  <c r="BT83" i="1"/>
  <c r="AW83" i="1"/>
  <c r="AF83" i="1"/>
  <c r="E83" i="1"/>
  <c r="BS83" i="1" s="1"/>
  <c r="BW82" i="1"/>
  <c r="BV82" i="1"/>
  <c r="BX82" i="1" s="1"/>
  <c r="BU82" i="1"/>
  <c r="BT82" i="1"/>
  <c r="AW82" i="1"/>
  <c r="AF82" i="1"/>
  <c r="E82" i="1"/>
  <c r="BS82" i="1" s="1"/>
  <c r="BU81" i="1"/>
  <c r="BW81" i="1" s="1"/>
  <c r="BT81" i="1"/>
  <c r="BS81" i="1"/>
  <c r="AW81" i="1"/>
  <c r="AF81" i="1"/>
  <c r="E81" i="1"/>
  <c r="BU80" i="1"/>
  <c r="BW80" i="1" s="1"/>
  <c r="BT80" i="1"/>
  <c r="BS80" i="1"/>
  <c r="BA80" i="1"/>
  <c r="AZ80" i="1"/>
  <c r="AY80" i="1"/>
  <c r="AX80" i="1"/>
  <c r="AW80" i="1"/>
  <c r="AF80" i="1"/>
  <c r="BU79" i="1"/>
  <c r="BW79" i="1" s="1"/>
  <c r="BT79" i="1"/>
  <c r="AW79" i="1"/>
  <c r="AF79" i="1"/>
  <c r="E79" i="1"/>
  <c r="BS79" i="1" s="1"/>
  <c r="BU78" i="1"/>
  <c r="BW78" i="1" s="1"/>
  <c r="BT78" i="1"/>
  <c r="BS78" i="1"/>
  <c r="BA78" i="1"/>
  <c r="AZ78" i="1"/>
  <c r="AY78" i="1"/>
  <c r="AX78" i="1"/>
  <c r="AW78" i="1"/>
  <c r="AF78" i="1"/>
  <c r="E78" i="1"/>
  <c r="BU77" i="1"/>
  <c r="BW77" i="1" s="1"/>
  <c r="BT77" i="1"/>
  <c r="BS77" i="1"/>
  <c r="BA77" i="1"/>
  <c r="AZ77" i="1"/>
  <c r="AY77" i="1"/>
  <c r="AX77" i="1"/>
  <c r="AW77" i="1"/>
  <c r="AF77" i="1"/>
  <c r="E77" i="1"/>
  <c r="BW76" i="1"/>
  <c r="BY76" i="1" s="1"/>
  <c r="BU76" i="1"/>
  <c r="BV76" i="1" s="1"/>
  <c r="BT76" i="1"/>
  <c r="BS76" i="1"/>
  <c r="BA76" i="1"/>
  <c r="AZ76" i="1"/>
  <c r="AY76" i="1"/>
  <c r="AX76" i="1"/>
  <c r="AW76" i="1"/>
  <c r="AF76" i="1"/>
  <c r="E76" i="1"/>
  <c r="BY75" i="1"/>
  <c r="BW75" i="1"/>
  <c r="BX75" i="1" s="1"/>
  <c r="BV75" i="1"/>
  <c r="BU75" i="1"/>
  <c r="BT75" i="1"/>
  <c r="BA75" i="1"/>
  <c r="AZ75" i="1"/>
  <c r="AY75" i="1"/>
  <c r="AX75" i="1"/>
  <c r="AW75" i="1"/>
  <c r="AF75" i="1"/>
  <c r="E75" i="1"/>
  <c r="BS75" i="1" s="1"/>
  <c r="BY74" i="1"/>
  <c r="BX74" i="1"/>
  <c r="BW74" i="1"/>
  <c r="BV74" i="1"/>
  <c r="BU74" i="1"/>
  <c r="BT74" i="1"/>
  <c r="BA74" i="1"/>
  <c r="AZ74" i="1"/>
  <c r="AY74" i="1"/>
  <c r="AX74" i="1"/>
  <c r="AW74" i="1"/>
  <c r="AF74" i="1"/>
  <c r="E74" i="1"/>
  <c r="BS74" i="1" s="1"/>
  <c r="BW73" i="1"/>
  <c r="BV73" i="1"/>
  <c r="BU73" i="1"/>
  <c r="BT73" i="1"/>
  <c r="AY73" i="1"/>
  <c r="AX73" i="1"/>
  <c r="AW73" i="1"/>
  <c r="AF73" i="1"/>
  <c r="E73" i="1"/>
  <c r="BS73" i="1" s="1"/>
  <c r="BW72" i="1"/>
  <c r="BV72" i="1"/>
  <c r="BU72" i="1"/>
  <c r="BT72" i="1"/>
  <c r="AW72" i="1"/>
  <c r="AF72" i="1"/>
  <c r="E72" i="1"/>
  <c r="BS72" i="1" s="1"/>
  <c r="BU71" i="1"/>
  <c r="BW71" i="1" s="1"/>
  <c r="BT71" i="1"/>
  <c r="AW71" i="1"/>
  <c r="AF71" i="1"/>
  <c r="E71" i="1"/>
  <c r="BS71" i="1" s="1"/>
  <c r="BV70" i="1"/>
  <c r="BU70" i="1"/>
  <c r="BW70" i="1" s="1"/>
  <c r="BT70" i="1"/>
  <c r="BS70" i="1"/>
  <c r="AW70" i="1"/>
  <c r="AF70" i="1"/>
  <c r="E70" i="1"/>
  <c r="BW69" i="1"/>
  <c r="BV69" i="1"/>
  <c r="BU69" i="1"/>
  <c r="BT69" i="1"/>
  <c r="AW69" i="1"/>
  <c r="AF69" i="1"/>
  <c r="E69" i="1"/>
  <c r="BS69" i="1" s="1"/>
  <c r="BU68" i="1"/>
  <c r="BW68" i="1" s="1"/>
  <c r="BT68" i="1"/>
  <c r="AW68" i="1"/>
  <c r="AF68" i="1"/>
  <c r="E68" i="1"/>
  <c r="BS68" i="1" s="1"/>
  <c r="BV67" i="1"/>
  <c r="BU67" i="1"/>
  <c r="BW67" i="1" s="1"/>
  <c r="BT67" i="1"/>
  <c r="BS67" i="1"/>
  <c r="AW67" i="1"/>
  <c r="AF67" i="1"/>
  <c r="E67" i="1"/>
  <c r="BW66" i="1"/>
  <c r="BV66" i="1"/>
  <c r="BU66" i="1"/>
  <c r="BT66" i="1"/>
  <c r="AW66" i="1"/>
  <c r="AF66" i="1"/>
  <c r="E66" i="1"/>
  <c r="BS66" i="1" s="1"/>
  <c r="BU65" i="1"/>
  <c r="BW65" i="1" s="1"/>
  <c r="BT65" i="1"/>
  <c r="AW65" i="1"/>
  <c r="AF65" i="1"/>
  <c r="E65" i="1"/>
  <c r="BS65" i="1" s="1"/>
  <c r="BV64" i="1"/>
  <c r="BU64" i="1"/>
  <c r="BW64" i="1" s="1"/>
  <c r="BT64" i="1"/>
  <c r="BS64" i="1"/>
  <c r="AW64" i="1"/>
  <c r="AF64" i="1"/>
  <c r="E64" i="1"/>
  <c r="BW63" i="1"/>
  <c r="BV63" i="1"/>
  <c r="BU63" i="1"/>
  <c r="BT63" i="1"/>
  <c r="AY63" i="1"/>
  <c r="AX63" i="1"/>
  <c r="AW63" i="1"/>
  <c r="AF63" i="1"/>
  <c r="E63" i="1"/>
  <c r="BS63" i="1" s="1"/>
  <c r="BW62" i="1"/>
  <c r="BU62" i="1"/>
  <c r="BV62" i="1" s="1"/>
  <c r="BT62" i="1"/>
  <c r="AY62" i="1"/>
  <c r="AX62" i="1"/>
  <c r="AW62" i="1"/>
  <c r="AF62" i="1"/>
  <c r="E62" i="1"/>
  <c r="BS62" i="1" s="1"/>
  <c r="BU61" i="1"/>
  <c r="BW61" i="1" s="1"/>
  <c r="BT61" i="1"/>
  <c r="BS61" i="1"/>
  <c r="AW61" i="1"/>
  <c r="AH61" i="1"/>
  <c r="AF61" i="1"/>
  <c r="E61" i="1"/>
  <c r="BW60" i="1"/>
  <c r="BU60" i="1"/>
  <c r="BV60" i="1" s="1"/>
  <c r="BT60" i="1"/>
  <c r="AW60" i="1"/>
  <c r="AH60" i="1"/>
  <c r="AF60" i="1"/>
  <c r="E60" i="1"/>
  <c r="BS60" i="1" s="1"/>
  <c r="BW59" i="1"/>
  <c r="BV59" i="1"/>
  <c r="BU59" i="1"/>
  <c r="BT59" i="1"/>
  <c r="AW59" i="1"/>
  <c r="AH59" i="1"/>
  <c r="AF59" i="1"/>
  <c r="E59" i="1"/>
  <c r="BS59" i="1" s="1"/>
  <c r="BU58" i="1"/>
  <c r="BW58" i="1" s="1"/>
  <c r="BT58" i="1"/>
  <c r="BS58" i="1"/>
  <c r="AW58" i="1"/>
  <c r="AH58" i="1"/>
  <c r="AF58" i="1"/>
  <c r="E58" i="1"/>
  <c r="BU57" i="1"/>
  <c r="BW57" i="1" s="1"/>
  <c r="BT57" i="1"/>
  <c r="AW57" i="1"/>
  <c r="AF57" i="1"/>
  <c r="E57" i="1"/>
  <c r="BS57" i="1" s="1"/>
  <c r="BU56" i="1"/>
  <c r="BW56" i="1" s="1"/>
  <c r="BT56" i="1"/>
  <c r="AX56" i="1"/>
  <c r="AW56" i="1"/>
  <c r="AF56" i="1"/>
  <c r="E56" i="1"/>
  <c r="BS56" i="1" s="1"/>
  <c r="BU55" i="1"/>
  <c r="BW55" i="1" s="1"/>
  <c r="BT55" i="1"/>
  <c r="BS55" i="1"/>
  <c r="AX55" i="1"/>
  <c r="AW55" i="1"/>
  <c r="AF55" i="1"/>
  <c r="E55" i="1"/>
  <c r="AW54" i="1"/>
  <c r="AF54" i="1"/>
  <c r="E54" i="1"/>
  <c r="BW53" i="1"/>
  <c r="BU53" i="1"/>
  <c r="BV53" i="1" s="1"/>
  <c r="BT53" i="1"/>
  <c r="BS53" i="1"/>
  <c r="AW53" i="1"/>
  <c r="AH53" i="1"/>
  <c r="AF53" i="1"/>
  <c r="E53" i="1"/>
  <c r="BW52" i="1"/>
  <c r="BU52" i="1"/>
  <c r="BV52" i="1" s="1"/>
  <c r="BT52" i="1"/>
  <c r="AW52" i="1"/>
  <c r="AH52" i="1"/>
  <c r="AF52" i="1"/>
  <c r="E52" i="1"/>
  <c r="BS52" i="1" s="1"/>
  <c r="BW51" i="1"/>
  <c r="BV51" i="1"/>
  <c r="BU51" i="1"/>
  <c r="BT51" i="1"/>
  <c r="AW51" i="1"/>
  <c r="AH51" i="1"/>
  <c r="AF51" i="1"/>
  <c r="E51" i="1"/>
  <c r="BS51" i="1" s="1"/>
  <c r="BU50" i="1"/>
  <c r="BW50" i="1" s="1"/>
  <c r="BT50" i="1"/>
  <c r="BS50" i="1"/>
  <c r="AW50" i="1"/>
  <c r="AF50" i="1"/>
  <c r="E50" i="1"/>
  <c r="BW49" i="1"/>
  <c r="BV49" i="1"/>
  <c r="BU49" i="1"/>
  <c r="BT49" i="1"/>
  <c r="AW49" i="1"/>
  <c r="AF49" i="1"/>
  <c r="E49" i="1"/>
  <c r="BS49" i="1" s="1"/>
  <c r="BU48" i="1"/>
  <c r="BW48" i="1" s="1"/>
  <c r="BT48" i="1"/>
  <c r="AW48" i="1"/>
  <c r="AF48" i="1"/>
  <c r="E48" i="1"/>
  <c r="BS48" i="1" s="1"/>
  <c r="BU47" i="1"/>
  <c r="BW47" i="1" s="1"/>
  <c r="BT47" i="1"/>
  <c r="BS47" i="1"/>
  <c r="AW47" i="1"/>
  <c r="AF47" i="1"/>
  <c r="E47" i="1"/>
  <c r="BW46" i="1"/>
  <c r="BV46" i="1"/>
  <c r="BU46" i="1"/>
  <c r="BT46" i="1"/>
  <c r="AW46" i="1"/>
  <c r="AF46" i="1"/>
  <c r="E46" i="1"/>
  <c r="BS46" i="1" s="1"/>
  <c r="BU45" i="1"/>
  <c r="BW45" i="1" s="1"/>
  <c r="BT45" i="1"/>
  <c r="AW45" i="1"/>
  <c r="AF45" i="1"/>
  <c r="E45" i="1"/>
  <c r="BW44" i="1"/>
  <c r="BU44" i="1"/>
  <c r="BV44" i="1" s="1"/>
  <c r="BT44" i="1"/>
  <c r="AW44" i="1"/>
  <c r="AF44" i="1"/>
  <c r="E44" i="1"/>
  <c r="BS44" i="1" s="1"/>
  <c r="BU43" i="1"/>
  <c r="BW43" i="1" s="1"/>
  <c r="BT43" i="1"/>
  <c r="AW43" i="1"/>
  <c r="AF43" i="1"/>
  <c r="E43" i="1"/>
  <c r="BS43" i="1" s="1"/>
  <c r="BW42" i="1"/>
  <c r="BV42" i="1"/>
  <c r="BU42" i="1"/>
  <c r="BT42" i="1"/>
  <c r="AW42" i="1"/>
  <c r="AF42" i="1"/>
  <c r="E42" i="1"/>
  <c r="BS42" i="1" s="1"/>
  <c r="BW41" i="1"/>
  <c r="BU41" i="1"/>
  <c r="BV41" i="1" s="1"/>
  <c r="BT41" i="1"/>
  <c r="AW41" i="1"/>
  <c r="AF41" i="1"/>
  <c r="E41" i="1"/>
  <c r="BS41" i="1" s="1"/>
  <c r="BU40" i="1"/>
  <c r="BW40" i="1" s="1"/>
  <c r="BT40" i="1"/>
  <c r="AW40" i="1"/>
  <c r="AF40" i="1"/>
  <c r="E40" i="1"/>
  <c r="BS40" i="1" s="1"/>
  <c r="BW39" i="1"/>
  <c r="BV39" i="1"/>
  <c r="BU39" i="1"/>
  <c r="BT39" i="1"/>
  <c r="AW39" i="1"/>
  <c r="AF39" i="1"/>
  <c r="E39" i="1"/>
  <c r="BS39" i="1" s="1"/>
  <c r="BW38" i="1"/>
  <c r="BU38" i="1"/>
  <c r="BV38" i="1" s="1"/>
  <c r="BT38" i="1"/>
  <c r="AW38" i="1"/>
  <c r="AF38" i="1"/>
  <c r="E38" i="1"/>
  <c r="BW37" i="1"/>
  <c r="BU37" i="1"/>
  <c r="BV37" i="1" s="1"/>
  <c r="BT37" i="1"/>
  <c r="AW37" i="1"/>
  <c r="AF37" i="1"/>
  <c r="E37" i="1"/>
  <c r="BS37" i="1" s="1"/>
  <c r="BW36" i="1"/>
  <c r="BU36" i="1"/>
  <c r="BV36" i="1" s="1"/>
  <c r="BT36" i="1"/>
  <c r="BS36" i="1"/>
  <c r="AY36" i="1"/>
  <c r="AX36" i="1"/>
  <c r="AW36" i="1"/>
  <c r="AF36" i="1"/>
  <c r="E36" i="1"/>
  <c r="BU35" i="1"/>
  <c r="BW35" i="1" s="1"/>
  <c r="BT35" i="1"/>
  <c r="AY35" i="1"/>
  <c r="AX35" i="1"/>
  <c r="AW35" i="1"/>
  <c r="AF35" i="1"/>
  <c r="E35" i="1"/>
  <c r="BS35" i="1" s="1"/>
  <c r="BW34" i="1"/>
  <c r="BV34" i="1"/>
  <c r="BU34" i="1"/>
  <c r="BT34" i="1"/>
  <c r="BS34" i="1"/>
  <c r="AY34" i="1"/>
  <c r="AX34" i="1"/>
  <c r="AW34" i="1"/>
  <c r="AF34" i="1"/>
  <c r="E34" i="1"/>
  <c r="BW33" i="1"/>
  <c r="BV33" i="1"/>
  <c r="BU33" i="1"/>
  <c r="BT33" i="1"/>
  <c r="AY33" i="1"/>
  <c r="AX33" i="1"/>
  <c r="AW33" i="1"/>
  <c r="AF33" i="1"/>
  <c r="E33" i="1"/>
  <c r="BS33" i="1" s="1"/>
  <c r="BW32" i="1"/>
  <c r="BU32" i="1"/>
  <c r="BV32" i="1" s="1"/>
  <c r="BT32" i="1"/>
  <c r="AY32" i="1"/>
  <c r="AX32" i="1"/>
  <c r="AW32" i="1"/>
  <c r="AF32" i="1"/>
  <c r="E32" i="1"/>
  <c r="BS32" i="1" s="1"/>
  <c r="BU31" i="1"/>
  <c r="BW31" i="1" s="1"/>
  <c r="BT31" i="1"/>
  <c r="BS31" i="1"/>
  <c r="AX31" i="1"/>
  <c r="AW31" i="1"/>
  <c r="AF31" i="1"/>
  <c r="E31" i="1"/>
  <c r="BW30" i="1"/>
  <c r="BV30" i="1"/>
  <c r="BU30" i="1"/>
  <c r="BT30" i="1"/>
  <c r="AX30" i="1"/>
  <c r="AW30" i="1"/>
  <c r="AF30" i="1"/>
  <c r="E30" i="1"/>
  <c r="BS30" i="1" s="1"/>
  <c r="BW29" i="1"/>
  <c r="BV29" i="1"/>
  <c r="BU29" i="1"/>
  <c r="BT29" i="1"/>
  <c r="AX29" i="1"/>
  <c r="AW29" i="1"/>
  <c r="AF29" i="1"/>
  <c r="E29" i="1"/>
  <c r="BS29" i="1" s="1"/>
  <c r="BT23" i="1"/>
  <c r="AW23" i="1"/>
  <c r="AF23" i="1"/>
  <c r="E23" i="1"/>
  <c r="BS23" i="1" s="1"/>
  <c r="BT22" i="1"/>
  <c r="AW22" i="1"/>
  <c r="AF22" i="1"/>
  <c r="E22" i="1"/>
  <c r="BS22" i="1" s="1"/>
  <c r="BT21" i="1"/>
  <c r="BS21" i="1"/>
  <c r="AW21" i="1"/>
  <c r="AF21" i="1"/>
  <c r="E21" i="1"/>
  <c r="BT20" i="1"/>
  <c r="AW20" i="1"/>
  <c r="AF20" i="1"/>
  <c r="E20" i="1"/>
  <c r="BS20" i="1" s="1"/>
  <c r="BT19" i="1"/>
  <c r="BS19" i="1"/>
  <c r="AW19" i="1"/>
  <c r="AF19" i="1"/>
  <c r="E19" i="1"/>
  <c r="BT18" i="1"/>
  <c r="BS18" i="1"/>
  <c r="AW18" i="1"/>
  <c r="AF18" i="1"/>
  <c r="E18" i="1"/>
  <c r="BV17" i="1"/>
  <c r="BW17" i="1" s="1"/>
  <c r="BT17" i="1"/>
  <c r="BS17" i="1"/>
  <c r="AW17" i="1"/>
  <c r="AF17" i="1"/>
  <c r="E17" i="1"/>
  <c r="BT16" i="1"/>
  <c r="BS16" i="1"/>
  <c r="AW16" i="1"/>
  <c r="AF16" i="1"/>
  <c r="E16" i="1"/>
  <c r="BT15" i="1"/>
  <c r="BS15" i="1"/>
  <c r="AW15" i="1"/>
  <c r="AF15" i="1"/>
  <c r="E15" i="1"/>
  <c r="BT14" i="1"/>
  <c r="AW14" i="1"/>
  <c r="AF14" i="1"/>
  <c r="E14" i="1"/>
  <c r="BS14" i="1" s="1"/>
  <c r="BT13" i="1"/>
  <c r="AW13" i="1"/>
  <c r="AF13" i="1"/>
  <c r="E13" i="1"/>
  <c r="BS13" i="1" s="1"/>
  <c r="BT12" i="1"/>
  <c r="BS12" i="1"/>
  <c r="AW12" i="1"/>
  <c r="AF12" i="1"/>
  <c r="E12" i="1"/>
  <c r="BT11" i="1"/>
  <c r="AW11" i="1"/>
  <c r="AF11" i="1"/>
  <c r="E11" i="1"/>
  <c r="BS11" i="1" s="1"/>
  <c r="BT10" i="1"/>
  <c r="AW10" i="1"/>
  <c r="AF10" i="1"/>
  <c r="E10" i="1"/>
  <c r="BS10" i="1" s="1"/>
  <c r="BT9" i="1"/>
  <c r="AW9" i="1"/>
  <c r="AF9" i="1"/>
  <c r="E9" i="1"/>
  <c r="BS9" i="1" s="1"/>
  <c r="BT8" i="1"/>
  <c r="AW8" i="1"/>
  <c r="AF8" i="1"/>
  <c r="E8" i="1"/>
  <c r="BS8" i="1" s="1"/>
  <c r="BT7" i="1"/>
  <c r="BS7" i="1"/>
  <c r="AW7" i="1"/>
  <c r="AF7" i="1"/>
  <c r="E7" i="1"/>
  <c r="BT6" i="1"/>
  <c r="AW6" i="1"/>
  <c r="AF6" i="1"/>
  <c r="E6" i="1"/>
  <c r="BS6" i="1" s="1"/>
  <c r="BT5" i="1"/>
  <c r="BS5" i="1"/>
  <c r="AW5" i="1"/>
  <c r="AF5" i="1"/>
  <c r="E5" i="1"/>
  <c r="BT4" i="1"/>
  <c r="BS4" i="1"/>
  <c r="AW4" i="1"/>
  <c r="AF4" i="1"/>
  <c r="E4" i="1"/>
  <c r="BY78" i="1" l="1"/>
  <c r="BX78" i="1"/>
  <c r="BY77" i="1"/>
  <c r="BX77" i="1"/>
  <c r="BY88" i="1"/>
  <c r="CA88" i="1" s="1"/>
  <c r="CC88" i="1" s="1"/>
  <c r="CE88" i="1" s="1"/>
  <c r="BX88" i="1"/>
  <c r="BZ88" i="1" s="1"/>
  <c r="CB88" i="1" s="1"/>
  <c r="CD88" i="1" s="1"/>
  <c r="BY86" i="1"/>
  <c r="BX86" i="1"/>
  <c r="BV35" i="1"/>
  <c r="BV47" i="1"/>
  <c r="BV50" i="1"/>
  <c r="BV56" i="1"/>
  <c r="BV97" i="1"/>
  <c r="BV55" i="1"/>
  <c r="BV107" i="1"/>
  <c r="BV110" i="1"/>
  <c r="BV40" i="1"/>
  <c r="BV81" i="1"/>
  <c r="BX81" i="1" s="1"/>
  <c r="BV96" i="1"/>
  <c r="BV99" i="1"/>
  <c r="BV103" i="1"/>
  <c r="BV43" i="1"/>
  <c r="BV58" i="1"/>
  <c r="BV31" i="1"/>
  <c r="BV45" i="1"/>
  <c r="BV48" i="1"/>
  <c r="BV57" i="1"/>
  <c r="BV61" i="1"/>
  <c r="BV65" i="1"/>
  <c r="BV68" i="1"/>
  <c r="BV71" i="1"/>
  <c r="BX76" i="1"/>
  <c r="BV77" i="1"/>
  <c r="BV79" i="1"/>
  <c r="BX79" i="1" s="1"/>
  <c r="BV80" i="1"/>
  <c r="BX80" i="1" s="1"/>
  <c r="BV84" i="1"/>
  <c r="BX84" i="1" s="1"/>
  <c r="BV86" i="1"/>
  <c r="BX87" i="1"/>
  <c r="BZ87" i="1" s="1"/>
  <c r="CB87" i="1" s="1"/>
  <c r="BV88" i="1"/>
  <c r="BV102" i="1"/>
  <c r="BV112" i="1"/>
  <c r="BV115" i="1"/>
  <c r="BV78" i="1"/>
  <c r="BV105" i="1"/>
  <c r="BW127" i="1" l="1"/>
  <c r="BV127" i="1"/>
  <c r="BW125" i="1"/>
  <c r="BV125" i="1"/>
  <c r="BV244" i="1"/>
  <c r="BW244" i="1"/>
  <c r="BV128" i="1"/>
  <c r="BW128" i="1"/>
  <c r="BV248" i="1"/>
  <c r="BW248" i="1"/>
  <c r="BW247" i="1"/>
  <c r="BV247" i="1"/>
  <c r="BV226" i="1"/>
  <c r="BW226" i="1"/>
  <c r="BV130" i="1"/>
  <c r="BW130" i="1"/>
  <c r="BW251" i="1"/>
  <c r="BV251" i="1"/>
  <c r="BX251" i="1"/>
  <c r="BV135" i="1"/>
  <c r="BW135" i="1"/>
  <c r="BX253" i="1"/>
  <c r="BY253" i="1"/>
  <c r="BV253" i="1"/>
  <c r="BW253" i="1"/>
  <c r="BY231" i="1"/>
  <c r="BX231" i="1"/>
  <c r="BV231" i="1"/>
  <c r="BW231" i="1"/>
  <c r="BV132" i="1"/>
  <c r="BW132" i="1"/>
  <c r="BW241" i="1"/>
  <c r="BV241" i="1"/>
  <c r="BX228" i="1"/>
  <c r="BV228" i="1"/>
  <c r="BW228" i="1"/>
  <c r="BW220" i="1"/>
  <c r="BV220" i="1"/>
  <c r="BW122" i="1"/>
  <c r="BV122" i="1"/>
  <c r="BV224" i="1"/>
  <c r="BW224" i="1"/>
  <c r="BV221" i="1"/>
  <c r="BW221" i="1"/>
  <c r="BW131" i="1"/>
  <c r="BV131" i="1"/>
  <c r="BW246" i="1"/>
  <c r="BV246" i="1"/>
  <c r="BW240" i="1"/>
  <c r="BV240" i="1"/>
  <c r="BW229" i="1"/>
  <c r="BV229" i="1"/>
  <c r="BX229" i="1"/>
  <c r="BY255" i="1"/>
  <c r="BX255" i="1"/>
  <c r="BV255" i="1"/>
  <c r="BW255" i="1"/>
  <c r="BV223" i="1"/>
  <c r="BW223" i="1"/>
  <c r="BW219" i="1"/>
  <c r="BV219" i="1"/>
  <c r="BW126" i="1"/>
  <c r="BV126" i="1"/>
  <c r="BX230" i="1"/>
  <c r="BV230" i="1"/>
  <c r="BW230" i="1"/>
  <c r="BW136" i="1"/>
  <c r="BV136" i="1"/>
  <c r="BX258" i="1"/>
  <c r="BV258" i="1"/>
  <c r="BW258" i="1"/>
  <c r="BW134" i="1"/>
  <c r="BV134" i="1"/>
  <c r="BX250" i="1"/>
  <c r="BV250" i="1"/>
  <c r="BW250" i="1"/>
  <c r="BX249" i="1"/>
  <c r="BV249" i="1"/>
  <c r="BW249" i="1"/>
  <c r="BW252" i="1"/>
  <c r="BV252" i="1"/>
  <c r="BX252" i="1"/>
  <c r="BV222" i="1"/>
  <c r="BW222" i="1"/>
  <c r="BV124" i="1"/>
  <c r="BW124" i="1"/>
  <c r="BV242" i="1"/>
  <c r="BW242" i="1"/>
  <c r="BV257" i="1"/>
  <c r="BW257" i="1"/>
  <c r="BW225" i="1"/>
  <c r="BV225" i="1"/>
  <c r="BW129" i="1"/>
  <c r="BV129" i="1"/>
  <c r="BX260" i="1"/>
  <c r="BY260" i="1"/>
  <c r="BV260" i="1"/>
  <c r="BW260" i="1"/>
  <c r="BW254" i="1"/>
  <c r="BY254" i="1"/>
  <c r="BV254" i="1"/>
  <c r="BX254" i="1"/>
  <c r="BW232" i="1"/>
  <c r="BX232" i="1"/>
  <c r="BV232" i="1"/>
  <c r="BY232" i="1"/>
  <c r="BW259" i="1"/>
  <c r="BV259" i="1"/>
  <c r="BX259" i="1"/>
  <c r="BY233" i="1"/>
  <c r="BW233" i="1"/>
  <c r="BV233" i="1"/>
  <c r="BX233" i="1"/>
  <c r="BV123" i="1"/>
  <c r="BW123" i="1"/>
  <c r="BV227" i="1"/>
  <c r="BW227" i="1"/>
  <c r="BV133" i="1"/>
  <c r="BW133" i="1"/>
  <c r="BV256" i="1"/>
  <c r="BW256" i="1"/>
  <c r="BV245" i="1"/>
  <c r="BW245" i="1"/>
  <c r="BW243" i="1"/>
  <c r="BV2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Filip Verelst</author>
  </authors>
  <commentList>
    <comment ref="AD104" authorId="0" shapeId="0" xr:uid="{1D50149B-856F-43D2-8A72-CA05CC052F14}">
      <text>
        <r>
          <rPr>
            <b/>
            <sz val="9"/>
            <color indexed="81"/>
            <rFont val="Tahoma"/>
            <family val="2"/>
          </rPr>
          <t>Filip Verelst:</t>
        </r>
        <r>
          <rPr>
            <sz val="9"/>
            <color indexed="81"/>
            <rFont val="Tahoma"/>
            <family val="2"/>
          </rPr>
          <t xml:space="preserve">
geen curves ontvangen Max MPP spanning volgens datasheet</t>
        </r>
      </text>
    </comment>
    <comment ref="AD105" authorId="0" shapeId="0" xr:uid="{94367701-9C57-47B4-A12C-22C3B01633E7}">
      <text>
        <r>
          <rPr>
            <b/>
            <sz val="9"/>
            <color indexed="81"/>
            <rFont val="Tahoma"/>
            <family val="2"/>
          </rPr>
          <t>Filip Verelst:</t>
        </r>
        <r>
          <rPr>
            <sz val="9"/>
            <color indexed="81"/>
            <rFont val="Tahoma"/>
            <family val="2"/>
          </rPr>
          <t xml:space="preserve">
geen curves ontvangen
van 4G curves</t>
        </r>
      </text>
    </comment>
    <comment ref="AD106" authorId="0" shapeId="0" xr:uid="{4FBC17EC-4CDB-4A3D-92C6-594EFE70E4C2}">
      <text>
        <r>
          <rPr>
            <b/>
            <sz val="9"/>
            <color indexed="81"/>
            <rFont val="Tahoma"/>
            <family val="2"/>
          </rPr>
          <t>Filip Verelst:</t>
        </r>
        <r>
          <rPr>
            <sz val="9"/>
            <color indexed="81"/>
            <rFont val="Tahoma"/>
            <family val="2"/>
          </rPr>
          <t xml:space="preserve">
geen curves ontvangen Max MPP spanning volgens datasheet</t>
        </r>
      </text>
    </comment>
    <comment ref="AD112" authorId="0" shapeId="0" xr:uid="{3B35199F-5594-4269-9756-5FFE3C1807F2}">
      <text>
        <r>
          <rPr>
            <b/>
            <sz val="9"/>
            <color indexed="81"/>
            <rFont val="Tahoma"/>
            <family val="2"/>
          </rPr>
          <t>Filip Verelst:</t>
        </r>
        <r>
          <rPr>
            <sz val="9"/>
            <color indexed="81"/>
            <rFont val="Tahoma"/>
            <family val="2"/>
          </rPr>
          <t xml:space="preserve">
geen curves ontvangen Max MPP spanning volgens datasheet</t>
        </r>
      </text>
    </comment>
    <comment ref="AD191" authorId="0" shapeId="0" xr:uid="{124EB266-B4CC-4C92-AEA6-4377F9FD8A34}">
      <text>
        <r>
          <rPr>
            <b/>
            <sz val="9"/>
            <color indexed="81"/>
            <rFont val="Tahoma"/>
            <family val="2"/>
          </rPr>
          <t>Filip Verelst:</t>
        </r>
        <r>
          <rPr>
            <sz val="9"/>
            <color indexed="81"/>
            <rFont val="Tahoma"/>
            <family val="2"/>
          </rPr>
          <t xml:space="preserve">
van de oude overgenomen</t>
        </r>
      </text>
    </comment>
    <comment ref="AD402" authorId="0" shapeId="0" xr:uid="{4BB582E6-4EFF-4165-A2CD-A2001D8D1C2D}">
      <text>
        <r>
          <rPr>
            <b/>
            <sz val="9"/>
            <color indexed="81"/>
            <rFont val="Tahoma"/>
            <family val="2"/>
          </rPr>
          <t>Filip Verelst:</t>
        </r>
        <r>
          <rPr>
            <sz val="9"/>
            <color indexed="81"/>
            <rFont val="Tahoma"/>
            <family val="2"/>
          </rPr>
          <t xml:space="preserve">
uit de oude characteristic curves genomen</t>
        </r>
      </text>
    </comment>
  </commentList>
</comments>
</file>

<file path=xl/sharedStrings.xml><?xml version="1.0" encoding="utf-8"?>
<sst xmlns="http://schemas.openxmlformats.org/spreadsheetml/2006/main" count="3652" uniqueCount="512">
  <si>
    <t>Invertoren Fronius</t>
  </si>
  <si>
    <t>Type</t>
  </si>
  <si>
    <t>Nodig nettype</t>
  </si>
  <si>
    <t>Pac_nominaal</t>
  </si>
  <si>
    <t>Pac_max [kW]</t>
  </si>
  <si>
    <t>Pac_max design [kW]</t>
  </si>
  <si>
    <t>Sac_max [kVA]</t>
  </si>
  <si>
    <t>Maximum rendement</t>
  </si>
  <si>
    <t>Europees rendement</t>
  </si>
  <si>
    <t>Vollast rendement (bij Vmpp_nom)</t>
  </si>
  <si>
    <t>Aantal MPP trackers</t>
  </si>
  <si>
    <t>Parallel MPPT operation possible</t>
  </si>
  <si>
    <t>Inputs MMPT 1</t>
  </si>
  <si>
    <t>Inputs MMPT 2</t>
  </si>
  <si>
    <t>Inputs MMPT 3</t>
  </si>
  <si>
    <t>Inputs MMPT 4</t>
  </si>
  <si>
    <t>Inputs MMPT 5</t>
  </si>
  <si>
    <t>Inputs MMPT 6</t>
  </si>
  <si>
    <t>Inputs MMPT 7</t>
  </si>
  <si>
    <t>Inputs MMPT 8</t>
  </si>
  <si>
    <t>Inputs MMPT 9</t>
  </si>
  <si>
    <t>Inputs MMPT 10</t>
  </si>
  <si>
    <t>Inputs MMPT 11</t>
  </si>
  <si>
    <t>Inputs MMPT 12</t>
  </si>
  <si>
    <t>Inputs MMPT 13</t>
  </si>
  <si>
    <t>Inputs MMPT 14</t>
  </si>
  <si>
    <t>Inputs MMPT 15</t>
  </si>
  <si>
    <t>Inputs MMPT 16</t>
  </si>
  <si>
    <t>Udc_start</t>
  </si>
  <si>
    <t>Umpp_min</t>
  </si>
  <si>
    <t>Umpp_max</t>
  </si>
  <si>
    <t>Vdc_max</t>
  </si>
  <si>
    <t>Idc_max_tot</t>
  </si>
  <si>
    <t>Idc_max_MMPT1</t>
  </si>
  <si>
    <t>Idc_max_MMPT2</t>
  </si>
  <si>
    <t>Idc_max_MMPT3</t>
  </si>
  <si>
    <t>Idc_max_MMPT4</t>
  </si>
  <si>
    <t>Idc_max_MMPT5</t>
  </si>
  <si>
    <t>Idc_max_MMPT6</t>
  </si>
  <si>
    <t>Idc_max_MMPT7</t>
  </si>
  <si>
    <t>Idc_max_MMPT8</t>
  </si>
  <si>
    <t>Idc_max_MMPT9</t>
  </si>
  <si>
    <t>Idc_max_MMPT10</t>
  </si>
  <si>
    <t>Idc_max_MMPT11</t>
  </si>
  <si>
    <t>Idc_max_MMPT12</t>
  </si>
  <si>
    <t>Idc_max_MMPT13</t>
  </si>
  <si>
    <t>Idc_max_MMPT14</t>
  </si>
  <si>
    <t>Idc_max_MMPT15</t>
  </si>
  <si>
    <t>Idc_max_MMPT16</t>
  </si>
  <si>
    <t>Isc_max_tot</t>
  </si>
  <si>
    <t>Isc_max_MPPT1</t>
  </si>
  <si>
    <t>Isc_max_MPPT2</t>
  </si>
  <si>
    <t>Isc_max_MPPT3</t>
  </si>
  <si>
    <t>Isc_max_MPPT4</t>
  </si>
  <si>
    <t>Isc_max_MPPT5</t>
  </si>
  <si>
    <t>Isc_max_MPPT6</t>
  </si>
  <si>
    <t>Isc_max_MPPT7</t>
  </si>
  <si>
    <t>Isc_max_MPPT8</t>
  </si>
  <si>
    <t>Isc_max_MPPT9</t>
  </si>
  <si>
    <t>Isc_max_MPPT10</t>
  </si>
  <si>
    <t>Isc_max_MPPT11</t>
  </si>
  <si>
    <t>Isc_max_MPPT12</t>
  </si>
  <si>
    <t>Isc_max_MPPT13</t>
  </si>
  <si>
    <t>Isc_max_MPPT14</t>
  </si>
  <si>
    <t>Isc_max_MPPT15</t>
  </si>
  <si>
    <t>Isc_max_MPPT16</t>
  </si>
  <si>
    <t>Stroomoverdimesionering toegestaan?</t>
  </si>
  <si>
    <t>Iac_max</t>
  </si>
  <si>
    <t>Ingevoerd/ aangepast door</t>
  </si>
  <si>
    <t>Datum invoer/aanpassing</t>
  </si>
  <si>
    <t>Opmerking</t>
  </si>
  <si>
    <t>Pdc_max_nom</t>
  </si>
  <si>
    <t>Iac_max_P</t>
  </si>
  <si>
    <t>Pdc_max_absolute</t>
  </si>
  <si>
    <t>Pdc_max_MPPT1</t>
  </si>
  <si>
    <t>Pdc_max_MPPT2</t>
  </si>
  <si>
    <t>Pdc_max_MPPT3</t>
  </si>
  <si>
    <t>Pdc_max_MPPT4</t>
  </si>
  <si>
    <t>Pdc_max_MPPT5</t>
  </si>
  <si>
    <t>Pdc_max_MPPT6</t>
  </si>
  <si>
    <t>Pdc_max_MPPT7</t>
  </si>
  <si>
    <t>Pdc_max_MPPT8</t>
  </si>
  <si>
    <t>Pdc_max_MPPT9</t>
  </si>
  <si>
    <t>Pdc_max_MPPT10</t>
  </si>
  <si>
    <t>Pdc_max_MPPT11</t>
  </si>
  <si>
    <t>Pdc_max_MPPT12</t>
  </si>
  <si>
    <t>Pdc_max_MPPT13</t>
  </si>
  <si>
    <t>Pdc_max_MPPT14</t>
  </si>
  <si>
    <t>Pdc_max_MPPT15</t>
  </si>
  <si>
    <t>Pdc_max_MPPT16</t>
  </si>
  <si>
    <t>Extra opbrengst</t>
  </si>
  <si>
    <t>Beschikbaarheid</t>
  </si>
  <si>
    <t>nb</t>
  </si>
  <si>
    <t>Galvo 1.5-1</t>
  </si>
  <si>
    <t>2x230V - 1x400V+N</t>
  </si>
  <si>
    <t>N.A. (1MPPT)</t>
  </si>
  <si>
    <t>Yes</t>
  </si>
  <si>
    <t>RSS</t>
  </si>
  <si>
    <t>Niet meer beschikbaar, NOK volgens Synergrid</t>
  </si>
  <si>
    <t>Galvo 2.0-1</t>
  </si>
  <si>
    <t>Galvo 2.5-1</t>
  </si>
  <si>
    <t>Primo 3.0-1</t>
  </si>
  <si>
    <t>Niet in ons standaard gamma, Wel beschikbaar, OK volgens Synergrid, enkel voor installaties &lt; 1MVA</t>
  </si>
  <si>
    <t>Primo 3.5-1</t>
  </si>
  <si>
    <t>Primo 3.6-1</t>
  </si>
  <si>
    <t>Primo 4.0-1</t>
  </si>
  <si>
    <t>Primo 4.6-1</t>
  </si>
  <si>
    <t>Primo 5.0-1</t>
  </si>
  <si>
    <t>Symo 6.0-3-M</t>
  </si>
  <si>
    <t>3x400V+N</t>
  </si>
  <si>
    <t>Symo 7.0-3-M</t>
  </si>
  <si>
    <t>Symo 8.2-3-M</t>
  </si>
  <si>
    <t>Symo 10.0-3-M</t>
  </si>
  <si>
    <t>Not known</t>
  </si>
  <si>
    <t>Niet in ons standaard gamma, Wel beschikbaar, OK volgens Synergrid</t>
  </si>
  <si>
    <t>Symo 10.0-3-M-OS</t>
  </si>
  <si>
    <t>Symo 12.5-3-M</t>
  </si>
  <si>
    <t>Symo 15.0-3-M</t>
  </si>
  <si>
    <t>Symo 17.5-3-M</t>
  </si>
  <si>
    <t>Symo 20.0-3-M</t>
  </si>
  <si>
    <t>ECO 25.0-3-S</t>
  </si>
  <si>
    <t>ECO 27.0-3-S</t>
  </si>
  <si>
    <t>Groter</t>
  </si>
  <si>
    <t>Invertoren Ginlong - OUD</t>
  </si>
  <si>
    <t>Solis-1K-2G</t>
  </si>
  <si>
    <t>Solis-1.5K-2G</t>
  </si>
  <si>
    <t>Solis-2K-2G</t>
  </si>
  <si>
    <t>Solis-2.5K-2G</t>
  </si>
  <si>
    <t>Solis-3K-2G</t>
  </si>
  <si>
    <t>Solis-3.6K-2G</t>
  </si>
  <si>
    <t>Solis-4K-2G</t>
  </si>
  <si>
    <t>Solis-4.6K-2G</t>
  </si>
  <si>
    <t>Solis-mini-700-4G</t>
  </si>
  <si>
    <t>JVB</t>
  </si>
  <si>
    <t>Niet meer beschikbaar, OK volgens Synergrid, enkel voor installaties &lt; 1MVA</t>
  </si>
  <si>
    <t>Solis-mini-1000-4G</t>
  </si>
  <si>
    <t>Solis-mini-1500-4G</t>
  </si>
  <si>
    <t>Solis-mini-2000-4G</t>
  </si>
  <si>
    <t>Solis-mini-2500-4G</t>
  </si>
  <si>
    <t>Solis-mini-3000-4G</t>
  </si>
  <si>
    <t>Solis-mini-3600-4G</t>
  </si>
  <si>
    <t>Solis-S5-GR1P0.7K-M</t>
  </si>
  <si>
    <t>Laatste stuks!, OK volgens Synergrid, enkel voor installaties &lt; 1MVA</t>
  </si>
  <si>
    <t>Solis-S5-GR1P1K-M</t>
  </si>
  <si>
    <t>Solis-S5-GR1P1.5K-M</t>
  </si>
  <si>
    <t>Solis-S5-GR1P2K-M</t>
  </si>
  <si>
    <t>Solis-S5-GR1P2.5K-M</t>
  </si>
  <si>
    <t>Solis-S5-GR1P3K-M</t>
  </si>
  <si>
    <t>Solis-S5-GR1P3.6K-M</t>
  </si>
  <si>
    <t>Solis-S5-GR1P3K</t>
  </si>
  <si>
    <t>Solis-S5-GR1P4K</t>
  </si>
  <si>
    <t>Solis-S5-GR1P4.6K</t>
  </si>
  <si>
    <t>Solis-1P1K-4G</t>
  </si>
  <si>
    <t>Geen standaard product, beschikbaarheid navragen bij product engineering, NOK volgens Synergrid</t>
  </si>
  <si>
    <t>Solis-1P1.5K-4G</t>
  </si>
  <si>
    <t>Solis-1P2K-4G</t>
  </si>
  <si>
    <t>Solis-1P2.5K-4G</t>
  </si>
  <si>
    <t>Solis-1P3K-4G</t>
  </si>
  <si>
    <t>Solis-1P3.6K-4G</t>
  </si>
  <si>
    <t>Solis-1P4K-4G</t>
  </si>
  <si>
    <t>Solis-1P4.6K-4G</t>
  </si>
  <si>
    <t>Solis-6K</t>
  </si>
  <si>
    <t>Solis-10K</t>
  </si>
  <si>
    <t>Solis-3P6K-4G</t>
  </si>
  <si>
    <t>FEC</t>
  </si>
  <si>
    <t>Geen standaard product, OK volgens Synergrid, enkel voor installaties &lt; 1MVA</t>
  </si>
  <si>
    <t>Solis-3P8K-4G-BE</t>
  </si>
  <si>
    <t>Solis-3P10K-4G-BE</t>
  </si>
  <si>
    <t>Geen standaard product, OK volgens Synergrid, + 10 kVA = netstudie aanvragen!,  enkel voor installaties &lt; 1MVA</t>
  </si>
  <si>
    <t>Solis-3P10K-4G-LV</t>
  </si>
  <si>
    <t>3x230V</t>
  </si>
  <si>
    <t>FVE</t>
  </si>
  <si>
    <t>Solis-3P10K-4G</t>
  </si>
  <si>
    <t>Solis-3P12K-4G</t>
  </si>
  <si>
    <t>DNI</t>
  </si>
  <si>
    <t>Solis-3P15K-4G</t>
  </si>
  <si>
    <t>Solis-3P17K-4G</t>
  </si>
  <si>
    <t>Solis-3P20K-4G</t>
  </si>
  <si>
    <t>Solis-15K</t>
  </si>
  <si>
    <t>Solis-20K</t>
  </si>
  <si>
    <t>Solis-25K</t>
  </si>
  <si>
    <t>Solis-30K</t>
  </si>
  <si>
    <t>Solis-36K-HV</t>
  </si>
  <si>
    <t>3x480V+N</t>
  </si>
  <si>
    <t>Solis-40K-HV</t>
  </si>
  <si>
    <t>Solis-40K</t>
  </si>
  <si>
    <t>Solis-50K</t>
  </si>
  <si>
    <t>Solis-25K-5G</t>
  </si>
  <si>
    <t xml:space="preserve">Solis-30K-5G </t>
  </si>
  <si>
    <t xml:space="preserve">Solis-33K-5G </t>
  </si>
  <si>
    <t>Solis-36K-5G</t>
  </si>
  <si>
    <t>Solis-40K-5G</t>
  </si>
  <si>
    <t>Solis-60K-4G</t>
  </si>
  <si>
    <t>Solis-80K-5G</t>
  </si>
  <si>
    <t>Solis-110K-BHV-5G</t>
  </si>
  <si>
    <t>3x540V+N</t>
  </si>
  <si>
    <t>Solis-125K-EHV-5G</t>
  </si>
  <si>
    <t>3x600V</t>
  </si>
  <si>
    <t>Invertoren Ginlong 5G/S5/S6 - huidig</t>
  </si>
  <si>
    <t>Solis-S6-GR1P0.7K-M</t>
  </si>
  <si>
    <t>Beschikbaar, OK volgens Synergrid, enkel voor installaties &lt; 1MVA</t>
  </si>
  <si>
    <t>Solis-S6-GR1P1K-M</t>
  </si>
  <si>
    <t>Solis-S6-GR1P1.5K-M</t>
  </si>
  <si>
    <t>Solis-S6-GR1P2K-M</t>
  </si>
  <si>
    <t>Solis-S6-GR1P3K-M</t>
  </si>
  <si>
    <t>Solis-S6-GR1P3K</t>
  </si>
  <si>
    <t>Solis-S6-GR1P4K</t>
  </si>
  <si>
    <t>Solis-S6-GR1P4.6K</t>
  </si>
  <si>
    <t>Solis-S6-GR1P5K</t>
  </si>
  <si>
    <t>Solis-S5-GR3P5K-LV</t>
  </si>
  <si>
    <t>Solis-S5-GR3P6K</t>
  </si>
  <si>
    <t>Solis-S5-GR3P6K-LV</t>
  </si>
  <si>
    <t>Solis-S5-GR3P8K</t>
  </si>
  <si>
    <t>Solis-S5-GR3P8K-BE</t>
  </si>
  <si>
    <t>Solis-S5-GR3P9K</t>
  </si>
  <si>
    <t>Solis-S5-GR3P10K</t>
  </si>
  <si>
    <t>Geen standaard product, OK volgens Synergrid, + 10 kVA = netstudie aanvragen! enkel voor installaties &lt; 1MVA</t>
  </si>
  <si>
    <t>Solis-S5-GR3P10K-BE</t>
  </si>
  <si>
    <t>Solis-S5-GR3P10K-LV-BE</t>
  </si>
  <si>
    <t>Solis-S5-GR3P12K</t>
  </si>
  <si>
    <t>Solis-S5-GR3P15K</t>
  </si>
  <si>
    <t>Solis-S5-GR3P17K</t>
  </si>
  <si>
    <t>Solis-S5-GR3P20K</t>
  </si>
  <si>
    <t>Invertoren Ginlong Hybrid - huidig</t>
  </si>
  <si>
    <t>Solis RHI-3K-48ES</t>
  </si>
  <si>
    <t>Beschikbaar, Low Voltage batterij, OK volgens Synergrid, enkel voor installaties &lt; 1MVA</t>
  </si>
  <si>
    <t>Solis RHI-3.6K-48ES</t>
  </si>
  <si>
    <t>Solis RHI-4.6K-48ES</t>
  </si>
  <si>
    <t>Solis RHI-3P5K-HVES-5G</t>
  </si>
  <si>
    <t>Beschikbaarheid af te checken met product engineering, High Voltage batterij, OK volgens Synergrid, enkel voor installaties &lt; 1MVA</t>
  </si>
  <si>
    <t>Solis RHI-3P6K-HVES-5G</t>
  </si>
  <si>
    <t>Solis RHI-3P8K-HVES-5G</t>
  </si>
  <si>
    <t>Solis RHI-3P10K-HVES-5G</t>
  </si>
  <si>
    <t>Solis S5-EH1P3K-L-BE</t>
  </si>
  <si>
    <t>Solis S5-EH1P3.6K-L-BE</t>
  </si>
  <si>
    <t>Solis S5-EH1P4.6K-L-BE</t>
  </si>
  <si>
    <t>Solis S5-EH1P5K-L-BE</t>
  </si>
  <si>
    <t>Solis S6-EH1P3K-L-BE - PRELIMINARY</t>
  </si>
  <si>
    <t>Q2 2024 Beschikbaar, Low Voltage batterij, NIET OK volgens Synergrid</t>
  </si>
  <si>
    <t>Solis S6-EH1P3.6K-L-BE - PRELIMINARY</t>
  </si>
  <si>
    <t>Solis S6-EH1P4.6K-L-BE - PRELIMINARY</t>
  </si>
  <si>
    <t>Solis S6-EH1P5K-L-BE - PRELIMINARY</t>
  </si>
  <si>
    <t>Invertoren HUAWEI - OUD</t>
  </si>
  <si>
    <t>SUN2000L-2KTL</t>
  </si>
  <si>
    <t>SUN2000L-3KTL</t>
  </si>
  <si>
    <t>SUN2000L-3.68KTL</t>
  </si>
  <si>
    <t>SUN2000L-4KTL</t>
  </si>
  <si>
    <t>SUN2000L-4.6KTL</t>
  </si>
  <si>
    <t>SUN2000L-5KTL</t>
  </si>
  <si>
    <t>SUN2000L-6KTL</t>
  </si>
  <si>
    <t>No</t>
  </si>
  <si>
    <t>SUN2000-8KTL</t>
  </si>
  <si>
    <t>SUN2000-10KTL</t>
  </si>
  <si>
    <t>SUN2000-10KTL-M1</t>
  </si>
  <si>
    <t>Niet meer beschikbaar, OK volgens Synergrid, 11 kVA max voor nieuwe toestellen! Oude geldig tot 15/09/2023 enkel voor installaties &lt; 1MVA</t>
  </si>
  <si>
    <t>SUN2000-12KTL</t>
  </si>
  <si>
    <t>Efficiency from OND files. Needs to be checked with new OND files</t>
  </si>
  <si>
    <t>SUN2000-12KTL-M2</t>
  </si>
  <si>
    <t>SUN2000-15KTL-M2</t>
  </si>
  <si>
    <t>SUN2000-17KTL</t>
  </si>
  <si>
    <t>SUN2000-17KTL-M2</t>
  </si>
  <si>
    <t>SUN2000-20KTL</t>
  </si>
  <si>
    <t>SUN2000-20KTL-M2</t>
  </si>
  <si>
    <t>SUN2000-33KTL</t>
  </si>
  <si>
    <t>SUN2000-33KTL-A</t>
  </si>
  <si>
    <t>Niet meer beschikbaar, OK volgens Synergrid</t>
  </si>
  <si>
    <t>SUN2000-36KTL</t>
  </si>
  <si>
    <t>SUN2000-36KTL-AFCI</t>
  </si>
  <si>
    <t>SUN2000-42KTL</t>
  </si>
  <si>
    <t>3x480V</t>
  </si>
  <si>
    <t>Invertoren HUAWEI - huidig</t>
  </si>
  <si>
    <t>SUN2000-2KTL-L1</t>
  </si>
  <si>
    <t>Moeilijk beschikbaar, OK volgens Synergrid, enkel voor installaties &lt; 1MVA</t>
  </si>
  <si>
    <t>SUN2000-3KTL-L1</t>
  </si>
  <si>
    <t>SUN2000-3KTL-M1</t>
  </si>
  <si>
    <t>SUN2000-4KTL-L1</t>
  </si>
  <si>
    <t>SUN2000-4KTL-M1</t>
  </si>
  <si>
    <t>SUN2000-4.6KTL-L1</t>
  </si>
  <si>
    <t>SUN2000-5KTL-M1</t>
  </si>
  <si>
    <t>SUN2000-6KTL-M1</t>
  </si>
  <si>
    <t>SUN2000-8KTL-M1</t>
  </si>
  <si>
    <t>SUN2000-10KTL-BEM1 - PRELIMINARY</t>
  </si>
  <si>
    <t>SUN2000-12KTL-M5</t>
  </si>
  <si>
    <t>SUN2000-15KTL-M5</t>
  </si>
  <si>
    <t>SUN2000-17KTL-M5</t>
  </si>
  <si>
    <t>SUN2000-20KTL-M5</t>
  </si>
  <si>
    <t>SUN2000-25KTL-M5</t>
  </si>
  <si>
    <t>SUN2000-30KTL-M3</t>
  </si>
  <si>
    <t>Moeilijk beschikbaar, OK volgens Synergrid</t>
  </si>
  <si>
    <t>SUN2000-36KTL-M3</t>
  </si>
  <si>
    <t>SUN2000-40KTL-M3</t>
  </si>
  <si>
    <t xml:space="preserve">SUN2000-50KTL-M3 </t>
  </si>
  <si>
    <t>Beschikbaarheid +/- december 2022, NIET OK volgens Synergrid</t>
  </si>
  <si>
    <t>SUN2000-60KTL-M0 @ 400 Vac</t>
  </si>
  <si>
    <t>SUN2000-100KTL-H1</t>
  </si>
  <si>
    <t>3x800V</t>
  </si>
  <si>
    <t>SUN2000-100KTL-M1</t>
  </si>
  <si>
    <t>SUN2000-100KTL-M2</t>
  </si>
  <si>
    <t>Moeilijk beschikbaar, NOK volgens Synergrid</t>
  </si>
  <si>
    <t>SUN2000-105KTL-H1</t>
  </si>
  <si>
    <t>SUN2000-185KTL-H1</t>
  </si>
  <si>
    <t>SUN2000-215KTL-H0</t>
  </si>
  <si>
    <t>SUN2000-215KTL-H3</t>
  </si>
  <si>
    <t>SUN2000-330KTL-H1 (preliminary)</t>
  </si>
  <si>
    <t>SAJ - OUD</t>
  </si>
  <si>
    <t>Sununo-TL1.5K</t>
  </si>
  <si>
    <t>Nieuwe omvormerdata april 2015</t>
  </si>
  <si>
    <t>Sununo-TL2K</t>
  </si>
  <si>
    <t>Sununo-TL3KA</t>
  </si>
  <si>
    <t>Sununo-TL4KA</t>
  </si>
  <si>
    <t>Sununo-TL5K</t>
  </si>
  <si>
    <t>Suntrio-TL6K</t>
  </si>
  <si>
    <t>Suntrio-TL8K</t>
  </si>
  <si>
    <t>Suntrio-TL10K</t>
  </si>
  <si>
    <t>Suntrio-TL12K</t>
  </si>
  <si>
    <t>Suntrio-TL15K</t>
  </si>
  <si>
    <t>Suntrio-TL17K</t>
  </si>
  <si>
    <t>Suntrio-TL20K</t>
  </si>
  <si>
    <t>SIGEN</t>
  </si>
  <si>
    <t>PV Max 3.0 SP</t>
  </si>
  <si>
    <t>AXM</t>
  </si>
  <si>
    <t>PV Max 3.6 SP</t>
  </si>
  <si>
    <t>PV Max 4.0 SP</t>
  </si>
  <si>
    <t>PV Max 4.6 SP</t>
  </si>
  <si>
    <t>PV Max 5.0 SP</t>
  </si>
  <si>
    <t>Meer dan 5kVa!</t>
  </si>
  <si>
    <t>Beschikbaar, OK volgens Synergrid, enkel voor installaties &lt; 1MVA (let op! &gt;5kVa!)</t>
  </si>
  <si>
    <t>PV Max 6.0 SP</t>
  </si>
  <si>
    <t>PV Max 5.0 TP</t>
  </si>
  <si>
    <t>PV Max 6.0 TP</t>
  </si>
  <si>
    <t>PV Max 8.0 TP</t>
  </si>
  <si>
    <t>PV Max 10.0 TP</t>
  </si>
  <si>
    <t>PV Max 12.0 TP</t>
  </si>
  <si>
    <t>PV Max 15.0 TP</t>
  </si>
  <si>
    <t>PV Max 17.0 TP</t>
  </si>
  <si>
    <t>PV Max 20.0 TP</t>
  </si>
  <si>
    <t>PV Max 25.0 TP</t>
  </si>
  <si>
    <t>SIGEN Hybrid</t>
  </si>
  <si>
    <t>Hybrid 2.0 SP</t>
  </si>
  <si>
    <t>1x230V</t>
  </si>
  <si>
    <t>Hybrid 3.0 SP</t>
  </si>
  <si>
    <t>Hybrid 3.6 SP</t>
  </si>
  <si>
    <t>Hybrid 4.0 SP</t>
  </si>
  <si>
    <t>Hybrid 4.6 SP</t>
  </si>
  <si>
    <t>Hybrid 5.0 SP</t>
  </si>
  <si>
    <t>Hybrid 6.0 SP</t>
  </si>
  <si>
    <t>Hybrid 5.0 TP</t>
  </si>
  <si>
    <t>Hybrid 6.0 TP</t>
  </si>
  <si>
    <t>Hybrid 8.0 TP</t>
  </si>
  <si>
    <t>Hybrid 10.0 TP</t>
  </si>
  <si>
    <t>Hybrid 10.0 TP-BE</t>
  </si>
  <si>
    <t>Hybrid 12.0 TP</t>
  </si>
  <si>
    <t>Hybrid 15.0 TP</t>
  </si>
  <si>
    <t>Hybrid 17.0 TP</t>
  </si>
  <si>
    <t>Hybrid 20.0 TP</t>
  </si>
  <si>
    <t>Hybrid 25.0 TP</t>
  </si>
  <si>
    <t>Hybrid 5.0 TPLV</t>
  </si>
  <si>
    <t>Hybrid 6.0 TPLV</t>
  </si>
  <si>
    <t>Hybrid 8.0 TPLV</t>
  </si>
  <si>
    <t>Hybrid 10.0 TPLV</t>
  </si>
  <si>
    <t>Hybrid 12.0 TPLV</t>
  </si>
  <si>
    <t>SAJ Plus - huidig</t>
  </si>
  <si>
    <t>Sununo Plus 1K</t>
  </si>
  <si>
    <t>Sununo Plus 1.5K</t>
  </si>
  <si>
    <t>Sununo Plus 2K</t>
  </si>
  <si>
    <t>Sununo Plus 2.5K</t>
  </si>
  <si>
    <t>Sununo Plus 3K</t>
  </si>
  <si>
    <t>Sununo Plus 3K-M</t>
  </si>
  <si>
    <t>Sununo Plus 4K-M</t>
  </si>
  <si>
    <t>Sununo Plus 5K-M</t>
  </si>
  <si>
    <t>Suntrio Plus 6K</t>
  </si>
  <si>
    <t>Suntrio Plus 8K</t>
  </si>
  <si>
    <t>Suntrio Plus 10K</t>
  </si>
  <si>
    <t>Suntrio Plus 12K</t>
  </si>
  <si>
    <t>Suntrio Plus 15K</t>
  </si>
  <si>
    <t>Suntrio Plus 17K</t>
  </si>
  <si>
    <t>Suntrio Plus 20K</t>
  </si>
  <si>
    <t>SMA - OUD</t>
  </si>
  <si>
    <t>SB 1.5</t>
  </si>
  <si>
    <t>Geen standaard product, OK volgens Synergrid</t>
  </si>
  <si>
    <t>SB 2.5</t>
  </si>
  <si>
    <t>SB 3.0</t>
  </si>
  <si>
    <t>SB 3.6</t>
  </si>
  <si>
    <t>SB 4.0</t>
  </si>
  <si>
    <t>SB 5.0</t>
  </si>
  <si>
    <t>STP 5000TL</t>
  </si>
  <si>
    <t>STP 6000TL</t>
  </si>
  <si>
    <t>STP 7000TL</t>
  </si>
  <si>
    <t>STP 8000TL</t>
  </si>
  <si>
    <t>STP 9000TL</t>
  </si>
  <si>
    <t>STP 10000TL</t>
  </si>
  <si>
    <t>SMC 10000TL</t>
  </si>
  <si>
    <t>STP 12000TL</t>
  </si>
  <si>
    <t>STP 15000TL</t>
  </si>
  <si>
    <t>STP 20000TL</t>
  </si>
  <si>
    <t>STP 25000TL</t>
  </si>
  <si>
    <t>STP 60</t>
  </si>
  <si>
    <t>SHP 75 (PEAK1)</t>
  </si>
  <si>
    <t>SC 2750 EV</t>
  </si>
  <si>
    <t>Centraal omvormer, checken bij product engineering</t>
  </si>
  <si>
    <t>SMA - huidig</t>
  </si>
  <si>
    <t>STP 3.0-3AV-40</t>
  </si>
  <si>
    <t>STP 4.0-3AV-40</t>
  </si>
  <si>
    <t>STP 5.0-3AV-40</t>
  </si>
  <si>
    <t>STP 6.0-3AV-40</t>
  </si>
  <si>
    <t>STP 8.0-3AV-40</t>
  </si>
  <si>
    <t>STP 10.0-3AV-40</t>
  </si>
  <si>
    <t>STP 12-50 (Sunny Tripower X 12)</t>
  </si>
  <si>
    <t>Nog niet beschikbaar Q4 2022 verwacht, NOK volgens Synergrid</t>
  </si>
  <si>
    <t>STP 15-50 (Sunny Tripower X 15)</t>
  </si>
  <si>
    <t>STP 20-50 (Sunny Tripower X 20)</t>
  </si>
  <si>
    <t>STP 25-50 (Sunny Tripower X 25)</t>
  </si>
  <si>
    <t>STP 50-41 (Sunny Trpower CORE1)</t>
  </si>
  <si>
    <t>Beschikbaar (lange levertermijn), OK volgens Synergrid</t>
  </si>
  <si>
    <t>SHP 100-20 (Sunny Highpower PEAK3)</t>
  </si>
  <si>
    <t>STP 110-60 (Sunny Tripower CORE2)</t>
  </si>
  <si>
    <t>SHP 150-20 (Sunny Highpower PEAK3)</t>
  </si>
  <si>
    <t>SHP 150-21 (Sunny Highpower PEAK3) - PRELIM</t>
  </si>
  <si>
    <t>Nog niet beschikbaar, NOK volgens Synergrid</t>
  </si>
  <si>
    <t>SHP 180-21 (Sunny Highpower PEAK3) - PRELIM</t>
  </si>
  <si>
    <t>SolarEdge - OUD</t>
  </si>
  <si>
    <t>SE2200 met optimizers</t>
  </si>
  <si>
    <t>SE3000 met optimizers</t>
  </si>
  <si>
    <t>SE3500 met optimizers</t>
  </si>
  <si>
    <t>SE4000 met optimizers</t>
  </si>
  <si>
    <t>SE5000 met optimizers</t>
  </si>
  <si>
    <t>SE6K met optimizers</t>
  </si>
  <si>
    <t>SE7K met optimizers</t>
  </si>
  <si>
    <t>SE8K met optimizers</t>
  </si>
  <si>
    <t>SE9K met optimizers</t>
  </si>
  <si>
    <t>SE10K met optimizers</t>
  </si>
  <si>
    <t>SolarEdge HD-Wave en E-series - huidig</t>
  </si>
  <si>
    <t>SE2200H met optimizers</t>
  </si>
  <si>
    <t>Beschikbaarheid en synergrid checken bij product engineering</t>
  </si>
  <si>
    <t>SE3000H met optimizers</t>
  </si>
  <si>
    <t>SE3500H met optimizers</t>
  </si>
  <si>
    <t>SE4000H met optimizers</t>
  </si>
  <si>
    <t>SE5000H met optimizers</t>
  </si>
  <si>
    <t>SE6K (E-series) met optimizers</t>
  </si>
  <si>
    <t>SE7K (E-series) met optimizers</t>
  </si>
  <si>
    <t>SE8K (E-series) met optimizers</t>
  </si>
  <si>
    <t>SE9K (E-series) met optimizers</t>
  </si>
  <si>
    <t>SE10K (E-series) met optimizers</t>
  </si>
  <si>
    <t>SE12.5K met optimizers</t>
  </si>
  <si>
    <t>SE15K met optimizers</t>
  </si>
  <si>
    <t>SE16K met optimizers</t>
  </si>
  <si>
    <t>SE17K met optimizers</t>
  </si>
  <si>
    <t>SE25K met optimizers</t>
  </si>
  <si>
    <t>SE27.6K met optimizers</t>
  </si>
  <si>
    <t>SE33.3K met optimizers</t>
  </si>
  <si>
    <t>Sungrow - OUD</t>
  </si>
  <si>
    <t>SG10KTL-M</t>
  </si>
  <si>
    <t>SG12KTL-M</t>
  </si>
  <si>
    <t>SG15KTL-M</t>
  </si>
  <si>
    <t>SG20KTL-M</t>
  </si>
  <si>
    <t>SG33CX</t>
  </si>
  <si>
    <t>SG40CX</t>
  </si>
  <si>
    <t>SG50CX</t>
  </si>
  <si>
    <t>SG60KTL</t>
  </si>
  <si>
    <t>SG60KTL-DC</t>
  </si>
  <si>
    <t>SG80KTL-20</t>
  </si>
  <si>
    <t>Sungrow - huidig</t>
  </si>
  <si>
    <t xml:space="preserve">SG5.0RT </t>
  </si>
  <si>
    <t xml:space="preserve">SG6.0RT </t>
  </si>
  <si>
    <t xml:space="preserve">SG7.0RT </t>
  </si>
  <si>
    <t>SG8.0RT</t>
  </si>
  <si>
    <t xml:space="preserve">SG10.0RT </t>
  </si>
  <si>
    <t xml:space="preserve">SG12.0RT </t>
  </si>
  <si>
    <t xml:space="preserve">SG15.0RT </t>
  </si>
  <si>
    <t>SG17.0RT</t>
  </si>
  <si>
    <t>SG20.0RT</t>
  </si>
  <si>
    <t>SG30CX-P2</t>
  </si>
  <si>
    <t>Beschikbaar, OK volgens Synergrid</t>
  </si>
  <si>
    <t>SG33CX v112 Premium</t>
  </si>
  <si>
    <t>Beschikbaar, wordt uitgefaseerd! OK volgens Synergrid</t>
  </si>
  <si>
    <t>SG33CX-P2</t>
  </si>
  <si>
    <t>SG40CX v112 Premium</t>
  </si>
  <si>
    <t>SG40CX-P2</t>
  </si>
  <si>
    <t>SG50CX v112 Premium</t>
  </si>
  <si>
    <t>SG50CX-P2</t>
  </si>
  <si>
    <t>SG110CX</t>
  </si>
  <si>
    <t>SG110CX v112 Premium</t>
  </si>
  <si>
    <t>SG125CX-P2</t>
  </si>
  <si>
    <t>SG125HV</t>
  </si>
  <si>
    <t>Slechte beschikbaarheid (6 maanden levertijd), OK volgens Synergrid</t>
  </si>
  <si>
    <t>SG125HX</t>
  </si>
  <si>
    <t>SG250HX</t>
  </si>
  <si>
    <t>SG350HX - 40A - 12 MPPT (standard)</t>
  </si>
  <si>
    <t>SG350HX - 30A - 14 MPPT (option)</t>
  </si>
  <si>
    <t>Niet standaard beschikbaar, OK volgens Synergrid</t>
  </si>
  <si>
    <t>SG350HX - 30A - 16 MPPT (option)</t>
  </si>
  <si>
    <t>GoodWe - huidig</t>
  </si>
  <si>
    <t>GW10KT-DT (BE)</t>
  </si>
  <si>
    <t>NIET Beschikbaar, OK volgens Synergrid, enkel voor installaties &lt; 1MVA</t>
  </si>
  <si>
    <t>GW12KT-DT (BE)</t>
  </si>
  <si>
    <t>GW15KT-DT (BE)</t>
  </si>
  <si>
    <t>GW17KT-DT (BE)</t>
  </si>
  <si>
    <t>GW20KT-DT (BE)</t>
  </si>
  <si>
    <t>GW25KT-DT (BE)</t>
  </si>
  <si>
    <t>GW25K-MT (BE)</t>
  </si>
  <si>
    <t>GW30K-MT (BE)</t>
  </si>
  <si>
    <t>GW36K-MT (BE)</t>
  </si>
  <si>
    <t>GW50KBF-MT (BE)</t>
  </si>
  <si>
    <t>GW60KBF-MT (BE)</t>
  </si>
  <si>
    <t>GW75K-HT</t>
  </si>
  <si>
    <t>GW80K-HT</t>
  </si>
  <si>
    <t>GW100K-HT</t>
  </si>
  <si>
    <t>GW110K-HT</t>
  </si>
  <si>
    <t>GW120K-HT</t>
  </si>
  <si>
    <t>GW225K-HT</t>
  </si>
  <si>
    <t>NIET Beschikbaar, OK volgens Synergrid</t>
  </si>
  <si>
    <t>GW250K-HT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</si>
</sst>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theme="0" tint="-0.499984740745262"/>
      </patternFill>
    </fill>
    <fill>
      <patternFill patternType="solid">
        <fgColor rgb="FFFFFF00"/>
        <bgColor theme="0" tint="-0.499984740745262"/>
      </patternFill>
    </fill>
    <fill>
      <patternFill patternType="solid">
        <fgColor rgb="FFEEECE1"/>
        <bgColor rgb="FF000000"/>
      </patternFill>
    </fill>
    <fill>
      <patternFill patternType="solid">
        <fgColor rgb="FFFFFF00"/>
        <bgColor rgb="FF808080"/>
      </patternFill>
    </fill>
    <fill>
      <patternFill patternType="solid">
        <fgColor theme="9" tint="0.79998168889431442"/>
        <bgColor theme="0" tint="-0.499984740745262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0" fillId="2" borderId="0" xfId="0" applyNumberFormat="1" applyFill="1"/>
    <xf numFmtId="0" fontId="2" fillId="3" borderId="0" xfId="0" applyFont="1" applyFill="1" applyAlignment="1">
      <alignment horizontal="left" vertical="center"/>
    </xf>
    <xf numFmtId="0" fontId="0" fillId="2" borderId="3" xfId="0" applyFill="1" applyBorder="1"/>
    <xf numFmtId="164" fontId="0" fillId="2" borderId="3" xfId="0" applyNumberFormat="1" applyFill="1" applyBorder="1"/>
    <xf numFmtId="0" fontId="0" fillId="2" borderId="3" xfId="0" applyFill="1" applyBorder="1" applyAlignment="1">
      <alignment horizontal="center"/>
    </xf>
    <xf numFmtId="14" fontId="0" fillId="2" borderId="3" xfId="0" applyNumberFormat="1" applyFill="1" applyBorder="1"/>
    <xf numFmtId="1" fontId="0" fillId="2" borderId="3" xfId="0" applyNumberFormat="1" applyFill="1" applyBorder="1"/>
    <xf numFmtId="1" fontId="0" fillId="4" borderId="3" xfId="0" applyNumberFormat="1" applyFill="1" applyBorder="1"/>
    <xf numFmtId="0" fontId="0" fillId="2" borderId="0" xfId="0" applyFill="1"/>
    <xf numFmtId="1" fontId="0" fillId="2" borderId="0" xfId="0" applyNumberFormat="1" applyFill="1"/>
    <xf numFmtId="164" fontId="0" fillId="4" borderId="3" xfId="0" applyNumberFormat="1" applyFill="1" applyBorder="1"/>
    <xf numFmtId="0" fontId="0" fillId="4" borderId="3" xfId="0" applyFill="1" applyBorder="1"/>
    <xf numFmtId="1" fontId="0" fillId="5" borderId="3" xfId="0" applyNumberFormat="1" applyFill="1" applyBorder="1"/>
    <xf numFmtId="0" fontId="0" fillId="5" borderId="3" xfId="0" applyFill="1" applyBorder="1"/>
    <xf numFmtId="164" fontId="0" fillId="5" borderId="3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1" fontId="0" fillId="6" borderId="3" xfId="0" applyNumberFormat="1" applyFill="1" applyBorder="1"/>
    <xf numFmtId="0" fontId="3" fillId="5" borderId="3" xfId="0" applyFont="1" applyFill="1" applyBorder="1"/>
    <xf numFmtId="0" fontId="3" fillId="2" borderId="3" xfId="0" applyFont="1" applyFill="1" applyBorder="1"/>
    <xf numFmtId="164" fontId="0" fillId="6" borderId="3" xfId="0" applyNumberFormat="1" applyFill="1" applyBorder="1"/>
    <xf numFmtId="1" fontId="0" fillId="5" borderId="3" xfId="0" applyNumberFormat="1" applyFill="1" applyBorder="1" applyAlignment="1">
      <alignment horizontal="center"/>
    </xf>
    <xf numFmtId="1" fontId="3" fillId="5" borderId="3" xfId="0" applyNumberFormat="1" applyFont="1" applyFill="1" applyBorder="1"/>
    <xf numFmtId="164" fontId="4" fillId="5" borderId="3" xfId="0" applyNumberFormat="1" applyFont="1" applyFill="1" applyBorder="1"/>
    <xf numFmtId="1" fontId="4" fillId="2" borderId="3" xfId="0" applyNumberFormat="1" applyFont="1" applyFill="1" applyBorder="1"/>
    <xf numFmtId="0" fontId="4" fillId="2" borderId="3" xfId="0" applyFont="1" applyFill="1" applyBorder="1"/>
    <xf numFmtId="0" fontId="4" fillId="5" borderId="3" xfId="0" applyFont="1" applyFill="1" applyBorder="1"/>
    <xf numFmtId="164" fontId="4" fillId="4" borderId="3" xfId="0" applyNumberFormat="1" applyFont="1" applyFill="1" applyBorder="1"/>
    <xf numFmtId="1" fontId="4" fillId="6" borderId="3" xfId="0" applyNumberFormat="1" applyFont="1" applyFill="1" applyBorder="1"/>
    <xf numFmtId="0" fontId="4" fillId="5" borderId="3" xfId="0" applyFont="1" applyFill="1" applyBorder="1" applyAlignment="1">
      <alignment horizontal="center"/>
    </xf>
    <xf numFmtId="14" fontId="4" fillId="5" borderId="3" xfId="0" applyNumberFormat="1" applyFont="1" applyFill="1" applyBorder="1"/>
    <xf numFmtId="1" fontId="4" fillId="5" borderId="3" xfId="0" applyNumberFormat="1" applyFont="1" applyFill="1" applyBorder="1"/>
    <xf numFmtId="164" fontId="4" fillId="6" borderId="3" xfId="0" applyNumberFormat="1" applyFont="1" applyFill="1" applyBorder="1"/>
    <xf numFmtId="0" fontId="4" fillId="2" borderId="3" xfId="0" applyFont="1" applyFill="1" applyBorder="1" applyAlignment="1">
      <alignment horizontal="center"/>
    </xf>
    <xf numFmtId="164" fontId="4" fillId="2" borderId="3" xfId="0" applyNumberFormat="1" applyFont="1" applyFill="1" applyBorder="1"/>
    <xf numFmtId="1" fontId="4" fillId="4" borderId="3" xfId="0" applyNumberFormat="1" applyFont="1" applyFill="1" applyBorder="1"/>
    <xf numFmtId="2" fontId="0" fillId="5" borderId="3" xfId="0" applyNumberFormat="1" applyFill="1" applyBorder="1"/>
    <xf numFmtId="1" fontId="3" fillId="2" borderId="3" xfId="0" applyNumberFormat="1" applyFont="1" applyFill="1" applyBorder="1"/>
    <xf numFmtId="0" fontId="0" fillId="4" borderId="3" xfId="0" applyFill="1" applyBorder="1" applyAlignment="1">
      <alignment horizontal="center"/>
    </xf>
    <xf numFmtId="0" fontId="3" fillId="2" borderId="0" xfId="0" applyFont="1" applyFill="1"/>
    <xf numFmtId="14" fontId="0" fillId="2" borderId="0" xfId="0" applyNumberFormat="1" applyFill="1"/>
    <xf numFmtId="0" fontId="0" fillId="0" borderId="3" xfId="0" applyBorder="1"/>
    <xf numFmtId="0" fontId="5" fillId="7" borderId="3" xfId="0" applyFont="1" applyFill="1" applyBorder="1"/>
    <xf numFmtId="0" fontId="5" fillId="7" borderId="4" xfId="0" applyFont="1" applyFill="1" applyBorder="1"/>
    <xf numFmtId="0" fontId="5" fillId="7" borderId="4" xfId="0" applyFont="1" applyFill="1" applyBorder="1" applyAlignment="1">
      <alignment horizontal="center"/>
    </xf>
    <xf numFmtId="14" fontId="5" fillId="7" borderId="4" xfId="0" applyNumberFormat="1" applyFont="1" applyFill="1" applyBorder="1"/>
    <xf numFmtId="1" fontId="5" fillId="8" borderId="4" xfId="0" applyNumberFormat="1" applyFont="1" applyFill="1" applyBorder="1"/>
    <xf numFmtId="1" fontId="5" fillId="7" borderId="4" xfId="0" applyNumberFormat="1" applyFont="1" applyFill="1" applyBorder="1"/>
    <xf numFmtId="1" fontId="0" fillId="9" borderId="3" xfId="0" applyNumberFormat="1" applyFill="1" applyBorder="1"/>
    <xf numFmtId="0" fontId="0" fillId="2" borderId="0" xfId="0" applyFill="1" applyAlignment="1">
      <alignment horizontal="center"/>
    </xf>
    <xf numFmtId="0" fontId="4" fillId="4" borderId="3" xfId="0" applyFont="1" applyFill="1" applyBorder="1"/>
    <xf numFmtId="14" fontId="4" fillId="2" borderId="3" xfId="0" applyNumberFormat="1" applyFont="1" applyFill="1" applyBorder="1"/>
    <xf numFmtId="0" fontId="4" fillId="6" borderId="3" xfId="0" applyFont="1" applyFill="1" applyBorder="1"/>
    <xf numFmtId="0" fontId="0" fillId="2" borderId="1" xfId="0" applyFill="1" applyBorder="1"/>
    <xf numFmtId="0" fontId="3" fillId="2" borderId="2" xfId="0" applyFont="1" applyFill="1" applyBorder="1"/>
    <xf numFmtId="0" fontId="0" fillId="2" borderId="2" xfId="0" applyFill="1" applyBorder="1"/>
    <xf numFmtId="164" fontId="0" fillId="2" borderId="2" xfId="0" applyNumberFormat="1" applyFill="1" applyBorder="1"/>
    <xf numFmtId="14" fontId="0" fillId="2" borderId="2" xfId="0" applyNumberForma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im\Desktop\Howest\Project%20Duurzaam%20Energieplan\Project%20OCMW%20St-Genesius-Rode\3-3%20Dimensioneringstool%20Earth%2031.10.25.xlsm" TargetMode="External"/><Relationship Id="rId1" Type="http://schemas.openxmlformats.org/officeDocument/2006/relationships/externalLinkPath" Target="/Users/Tim/Desktop/Howest/Project%20Duurzaam%20Energieplan/Project%20OCMW%20St-Genesius-Rode/3-3%20Dimensioneringstool%20Earth%2031.10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ntabiliteit"/>
      <sheetName val="Combinaties"/>
      <sheetName val="NieuweModule"/>
      <sheetName val="tabellen"/>
      <sheetName val="Versies"/>
    </sheetNames>
    <sheetDataSet>
      <sheetData sheetId="0">
        <row r="33">
          <cell r="M33" t="str">
            <v>nee</v>
          </cell>
        </row>
        <row r="35">
          <cell r="M35" t="str">
            <v>Special IZEN</v>
          </cell>
        </row>
        <row r="74">
          <cell r="V74">
            <v>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B4AC-6EE3-45C9-B18D-974AA946BFE7}">
  <dimension ref="A1:CM432"/>
  <sheetViews>
    <sheetView tabSelected="1" workbookViewId="0">
      <selection sqref="A1:CM432"/>
    </sheetView>
  </sheetViews>
  <sheetFormatPr defaultRowHeight="14.4" x14ac:dyDescent="0.3"/>
  <sheetData>
    <row r="1" spans="1:91" ht="15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</row>
    <row r="2" spans="1:9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  <c r="BB2" s="5" t="s">
        <v>54</v>
      </c>
      <c r="BC2" s="5" t="s">
        <v>55</v>
      </c>
      <c r="BD2" s="5" t="s">
        <v>56</v>
      </c>
      <c r="BE2" s="5" t="s">
        <v>57</v>
      </c>
      <c r="BF2" s="5" t="s">
        <v>58</v>
      </c>
      <c r="BG2" s="5" t="s">
        <v>59</v>
      </c>
      <c r="BH2" s="5" t="s">
        <v>60</v>
      </c>
      <c r="BI2" s="5" t="s">
        <v>61</v>
      </c>
      <c r="BJ2" s="5" t="s">
        <v>62</v>
      </c>
      <c r="BK2" s="5" t="s">
        <v>63</v>
      </c>
      <c r="BL2" s="5" t="s">
        <v>64</v>
      </c>
      <c r="BM2" s="5" t="s">
        <v>65</v>
      </c>
      <c r="BN2" s="5" t="s">
        <v>66</v>
      </c>
      <c r="BO2" s="5" t="s">
        <v>67</v>
      </c>
      <c r="BP2" s="5" t="s">
        <v>68</v>
      </c>
      <c r="BQ2" s="5" t="s">
        <v>69</v>
      </c>
      <c r="BR2" s="5" t="s">
        <v>70</v>
      </c>
      <c r="BS2" s="5" t="s">
        <v>71</v>
      </c>
      <c r="BT2" s="5" t="s">
        <v>72</v>
      </c>
      <c r="BU2" s="5" t="s">
        <v>73</v>
      </c>
      <c r="BV2" s="5" t="s">
        <v>74</v>
      </c>
      <c r="BW2" s="5" t="s">
        <v>75</v>
      </c>
      <c r="BX2" s="5" t="s">
        <v>76</v>
      </c>
      <c r="BY2" s="5" t="s">
        <v>77</v>
      </c>
      <c r="BZ2" s="5" t="s">
        <v>78</v>
      </c>
      <c r="CA2" s="5" t="s">
        <v>79</v>
      </c>
      <c r="CB2" s="5" t="s">
        <v>80</v>
      </c>
      <c r="CC2" s="5" t="s">
        <v>81</v>
      </c>
      <c r="CD2" s="5" t="s">
        <v>82</v>
      </c>
      <c r="CE2" s="5" t="s">
        <v>83</v>
      </c>
      <c r="CF2" s="5" t="s">
        <v>84</v>
      </c>
      <c r="CG2" s="5" t="s">
        <v>85</v>
      </c>
      <c r="CH2" s="5" t="s">
        <v>86</v>
      </c>
      <c r="CI2" s="5" t="s">
        <v>87</v>
      </c>
      <c r="CJ2" s="5" t="s">
        <v>88</v>
      </c>
      <c r="CK2" s="5" t="s">
        <v>89</v>
      </c>
      <c r="CL2" s="5" t="s">
        <v>90</v>
      </c>
      <c r="CM2" s="5" t="s">
        <v>91</v>
      </c>
    </row>
    <row r="3" spans="1:91" x14ac:dyDescent="0.3">
      <c r="A3" s="5" t="s">
        <v>92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</row>
    <row r="4" spans="1:91" x14ac:dyDescent="0.3">
      <c r="A4" s="5" t="s">
        <v>93</v>
      </c>
      <c r="B4" s="5" t="s">
        <v>94</v>
      </c>
      <c r="C4" s="5">
        <v>1500</v>
      </c>
      <c r="D4" s="5">
        <v>1500</v>
      </c>
      <c r="E4" s="5">
        <f>D4*[1]Rentabiliteit!$V$74</f>
        <v>1500</v>
      </c>
      <c r="F4" s="5">
        <v>1500</v>
      </c>
      <c r="G4" s="6">
        <v>95.9</v>
      </c>
      <c r="H4" s="6">
        <v>94.5</v>
      </c>
      <c r="I4" s="6">
        <v>95.9</v>
      </c>
      <c r="J4" s="5">
        <v>1</v>
      </c>
      <c r="K4" s="5" t="s">
        <v>95</v>
      </c>
      <c r="L4" s="5">
        <v>3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>
        <v>120</v>
      </c>
      <c r="AC4" s="5">
        <v>120</v>
      </c>
      <c r="AD4" s="5">
        <v>335</v>
      </c>
      <c r="AE4" s="5">
        <v>420</v>
      </c>
      <c r="AF4" s="5">
        <f>IF(OR($K4=1,$L4="Yes"),SUM(AG4:AV4),0)</f>
        <v>0</v>
      </c>
      <c r="AG4" s="5">
        <v>13.3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>
        <f>IF(OR($K4=1,$L4="Yes"),SUM(AX4:BM4),0)</f>
        <v>0</v>
      </c>
      <c r="AX4" s="5">
        <v>20</v>
      </c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7" t="s">
        <v>96</v>
      </c>
      <c r="BO4" s="5">
        <v>7.2</v>
      </c>
      <c r="BP4" s="5" t="s">
        <v>97</v>
      </c>
      <c r="BQ4" s="8">
        <v>42041</v>
      </c>
      <c r="BR4" s="5"/>
      <c r="BS4" s="9">
        <f t="shared" ref="BS4:BS23" si="0">E4/(IF(I4=0,G4,I4)/100)</f>
        <v>1564.1293013555787</v>
      </c>
      <c r="BT4" s="6">
        <f t="shared" ref="BT4:BT12" si="1">F4/230</f>
        <v>6.5217391304347823</v>
      </c>
      <c r="BU4" s="9">
        <v>3000</v>
      </c>
      <c r="BV4" s="9">
        <v>3000</v>
      </c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9">
        <v>0</v>
      </c>
      <c r="CM4" s="9" t="s">
        <v>98</v>
      </c>
    </row>
    <row r="5" spans="1:91" x14ac:dyDescent="0.3">
      <c r="A5" s="5" t="s">
        <v>99</v>
      </c>
      <c r="B5" s="5" t="s">
        <v>94</v>
      </c>
      <c r="C5" s="5">
        <v>2000</v>
      </c>
      <c r="D5" s="5">
        <v>2000</v>
      </c>
      <c r="E5" s="5">
        <f>D5*[1]Rentabiliteit!$V$74</f>
        <v>2000</v>
      </c>
      <c r="F5" s="5">
        <v>2000</v>
      </c>
      <c r="G5" s="6">
        <v>96</v>
      </c>
      <c r="H5" s="6">
        <v>94.9</v>
      </c>
      <c r="I5" s="6">
        <v>95.6</v>
      </c>
      <c r="J5" s="5">
        <v>1</v>
      </c>
      <c r="K5" s="5" t="s">
        <v>95</v>
      </c>
      <c r="L5" s="5">
        <v>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120</v>
      </c>
      <c r="AC5" s="5">
        <v>120</v>
      </c>
      <c r="AD5" s="5">
        <v>335</v>
      </c>
      <c r="AE5" s="5">
        <v>420</v>
      </c>
      <c r="AF5" s="5">
        <f t="shared" ref="AF5:AF23" si="2">IF(OR($K5=1,$L5="Yes"),SUM(AG5:AV5),0)</f>
        <v>0</v>
      </c>
      <c r="AG5" s="5">
        <v>17.8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>
        <f t="shared" ref="AW5:AW23" si="3">IF(OR($K5=1,$L5="Yes"),SUM(AX5:BM5),0)</f>
        <v>0</v>
      </c>
      <c r="AX5" s="5">
        <v>26.8</v>
      </c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7" t="s">
        <v>96</v>
      </c>
      <c r="BO5" s="5">
        <v>9.6999999999999993</v>
      </c>
      <c r="BP5" s="5" t="s">
        <v>97</v>
      </c>
      <c r="BQ5" s="8">
        <v>42041</v>
      </c>
      <c r="BR5" s="5"/>
      <c r="BS5" s="9">
        <f t="shared" si="0"/>
        <v>2092.050209205021</v>
      </c>
      <c r="BT5" s="6">
        <f t="shared" si="1"/>
        <v>8.695652173913043</v>
      </c>
      <c r="BU5" s="9">
        <v>4000</v>
      </c>
      <c r="BV5" s="9">
        <v>4000</v>
      </c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9">
        <v>0</v>
      </c>
      <c r="CM5" s="9" t="s">
        <v>98</v>
      </c>
    </row>
    <row r="6" spans="1:91" x14ac:dyDescent="0.3">
      <c r="A6" s="5" t="s">
        <v>100</v>
      </c>
      <c r="B6" s="5" t="s">
        <v>94</v>
      </c>
      <c r="C6" s="5">
        <v>2500</v>
      </c>
      <c r="D6" s="5">
        <v>2500</v>
      </c>
      <c r="E6" s="5">
        <f>D6*[1]Rentabiliteit!$V$74</f>
        <v>2500</v>
      </c>
      <c r="F6" s="5">
        <v>2500</v>
      </c>
      <c r="G6" s="6">
        <v>96.1</v>
      </c>
      <c r="H6" s="6">
        <v>95.2</v>
      </c>
      <c r="I6" s="6">
        <v>95.7</v>
      </c>
      <c r="J6" s="5">
        <v>1</v>
      </c>
      <c r="K6" s="5" t="s">
        <v>95</v>
      </c>
      <c r="L6" s="5">
        <v>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165</v>
      </c>
      <c r="AC6" s="5">
        <v>165</v>
      </c>
      <c r="AD6" s="5">
        <v>440</v>
      </c>
      <c r="AE6" s="5">
        <v>550</v>
      </c>
      <c r="AF6" s="5">
        <f t="shared" si="2"/>
        <v>0</v>
      </c>
      <c r="AG6" s="5">
        <v>16.600000000000001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>
        <f t="shared" si="3"/>
        <v>0</v>
      </c>
      <c r="AX6" s="5">
        <v>24.8</v>
      </c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7" t="s">
        <v>96</v>
      </c>
      <c r="BO6" s="5">
        <v>12.1</v>
      </c>
      <c r="BP6" s="5" t="s">
        <v>97</v>
      </c>
      <c r="BQ6" s="8">
        <v>42041</v>
      </c>
      <c r="BR6" s="5"/>
      <c r="BS6" s="9">
        <f t="shared" si="0"/>
        <v>2612.3301985370949</v>
      </c>
      <c r="BT6" s="6">
        <f t="shared" si="1"/>
        <v>10.869565217391305</v>
      </c>
      <c r="BU6" s="9">
        <v>5000</v>
      </c>
      <c r="BV6" s="9">
        <v>5000</v>
      </c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9">
        <v>0</v>
      </c>
      <c r="CM6" s="9" t="s">
        <v>98</v>
      </c>
    </row>
    <row r="7" spans="1:91" x14ac:dyDescent="0.3">
      <c r="A7" s="5" t="s">
        <v>101</v>
      </c>
      <c r="B7" s="5" t="s">
        <v>94</v>
      </c>
      <c r="C7" s="5">
        <v>3000</v>
      </c>
      <c r="D7" s="5">
        <v>3000</v>
      </c>
      <c r="E7" s="5">
        <f>D7*[1]Rentabiliteit!$V$74</f>
        <v>3000</v>
      </c>
      <c r="F7" s="5">
        <v>3000</v>
      </c>
      <c r="G7" s="6">
        <v>98</v>
      </c>
      <c r="H7" s="6">
        <v>96.1</v>
      </c>
      <c r="I7" s="6">
        <v>97.9</v>
      </c>
      <c r="J7" s="5">
        <v>2</v>
      </c>
      <c r="K7" s="5" t="s">
        <v>96</v>
      </c>
      <c r="L7" s="5">
        <v>2</v>
      </c>
      <c r="M7" s="5">
        <v>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80</v>
      </c>
      <c r="AC7" s="5">
        <v>200</v>
      </c>
      <c r="AD7" s="5">
        <v>800</v>
      </c>
      <c r="AE7" s="5">
        <v>1000</v>
      </c>
      <c r="AF7" s="5">
        <f t="shared" si="2"/>
        <v>0</v>
      </c>
      <c r="AG7" s="5">
        <v>12</v>
      </c>
      <c r="AH7" s="5">
        <v>12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f t="shared" si="3"/>
        <v>0</v>
      </c>
      <c r="AX7" s="5">
        <v>18</v>
      </c>
      <c r="AY7" s="5">
        <v>18</v>
      </c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7" t="s">
        <v>96</v>
      </c>
      <c r="BO7" s="5">
        <v>15.2</v>
      </c>
      <c r="BP7" s="5" t="s">
        <v>97</v>
      </c>
      <c r="BQ7" s="8">
        <v>42041</v>
      </c>
      <c r="BR7" s="5"/>
      <c r="BS7" s="9">
        <f t="shared" si="0"/>
        <v>3064.3513789581202</v>
      </c>
      <c r="BT7" s="6">
        <f t="shared" si="1"/>
        <v>13.043478260869565</v>
      </c>
      <c r="BU7" s="9">
        <v>4500</v>
      </c>
      <c r="BV7" s="9">
        <v>3064.3513789581202</v>
      </c>
      <c r="BW7" s="9">
        <v>3064.3513789581202</v>
      </c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>
        <v>0</v>
      </c>
      <c r="CM7" s="9" t="s">
        <v>102</v>
      </c>
    </row>
    <row r="8" spans="1:91" x14ac:dyDescent="0.3">
      <c r="A8" s="5" t="s">
        <v>103</v>
      </c>
      <c r="B8" s="5" t="s">
        <v>94</v>
      </c>
      <c r="C8" s="5">
        <v>3500</v>
      </c>
      <c r="D8" s="5">
        <v>3500</v>
      </c>
      <c r="E8" s="5">
        <f>D8*[1]Rentabiliteit!$V$74</f>
        <v>3500</v>
      </c>
      <c r="F8" s="5">
        <v>3500</v>
      </c>
      <c r="G8" s="6">
        <v>98</v>
      </c>
      <c r="H8" s="6">
        <v>96.8</v>
      </c>
      <c r="I8" s="6">
        <v>98</v>
      </c>
      <c r="J8" s="5">
        <v>2</v>
      </c>
      <c r="K8" s="5" t="s">
        <v>96</v>
      </c>
      <c r="L8" s="5">
        <v>2</v>
      </c>
      <c r="M8" s="5">
        <v>2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80</v>
      </c>
      <c r="AC8" s="5">
        <v>200</v>
      </c>
      <c r="AD8" s="5">
        <v>800</v>
      </c>
      <c r="AE8" s="5">
        <v>1000</v>
      </c>
      <c r="AF8" s="5">
        <f t="shared" si="2"/>
        <v>0</v>
      </c>
      <c r="AG8" s="5">
        <v>12</v>
      </c>
      <c r="AH8" s="5">
        <v>12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>
        <f t="shared" si="3"/>
        <v>0</v>
      </c>
      <c r="AX8" s="5">
        <v>18</v>
      </c>
      <c r="AY8" s="5">
        <v>18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7" t="s">
        <v>96</v>
      </c>
      <c r="BO8" s="5">
        <v>17.7</v>
      </c>
      <c r="BP8" s="5" t="s">
        <v>97</v>
      </c>
      <c r="BQ8" s="8">
        <v>42041</v>
      </c>
      <c r="BR8" s="5"/>
      <c r="BS8" s="9">
        <f t="shared" si="0"/>
        <v>3571.4285714285716</v>
      </c>
      <c r="BT8" s="6">
        <f t="shared" si="1"/>
        <v>15.217391304347826</v>
      </c>
      <c r="BU8" s="9">
        <v>5250</v>
      </c>
      <c r="BV8" s="9">
        <v>3571.4285714285716</v>
      </c>
      <c r="BW8" s="9">
        <v>3571.4285714285716</v>
      </c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>
        <v>0</v>
      </c>
      <c r="CM8" s="9" t="s">
        <v>102</v>
      </c>
    </row>
    <row r="9" spans="1:91" x14ac:dyDescent="0.3">
      <c r="A9" s="5" t="s">
        <v>104</v>
      </c>
      <c r="B9" s="5" t="s">
        <v>94</v>
      </c>
      <c r="C9" s="5">
        <v>3680</v>
      </c>
      <c r="D9" s="5">
        <v>3680</v>
      </c>
      <c r="E9" s="5">
        <f>D9*[1]Rentabiliteit!$V$74</f>
        <v>3680</v>
      </c>
      <c r="F9" s="5">
        <v>3680</v>
      </c>
      <c r="G9" s="6">
        <v>98</v>
      </c>
      <c r="H9" s="6">
        <v>96.8</v>
      </c>
      <c r="I9" s="6">
        <v>98</v>
      </c>
      <c r="J9" s="5">
        <v>2</v>
      </c>
      <c r="K9" s="5" t="s">
        <v>96</v>
      </c>
      <c r="L9" s="5">
        <v>2</v>
      </c>
      <c r="M9" s="5">
        <v>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80</v>
      </c>
      <c r="AC9" s="5">
        <v>200</v>
      </c>
      <c r="AD9" s="5">
        <v>800</v>
      </c>
      <c r="AE9" s="5">
        <v>1000</v>
      </c>
      <c r="AF9" s="5">
        <f t="shared" si="2"/>
        <v>0</v>
      </c>
      <c r="AG9" s="5">
        <v>12</v>
      </c>
      <c r="AH9" s="5">
        <v>12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f t="shared" si="3"/>
        <v>0</v>
      </c>
      <c r="AX9" s="5">
        <v>18</v>
      </c>
      <c r="AY9" s="5">
        <v>18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7" t="s">
        <v>96</v>
      </c>
      <c r="BO9" s="5">
        <v>18.600000000000001</v>
      </c>
      <c r="BP9" s="5" t="s">
        <v>97</v>
      </c>
      <c r="BQ9" s="8">
        <v>42041</v>
      </c>
      <c r="BR9" s="5"/>
      <c r="BS9" s="9">
        <f t="shared" si="0"/>
        <v>3755.1020408163267</v>
      </c>
      <c r="BT9" s="6">
        <f t="shared" si="1"/>
        <v>16</v>
      </c>
      <c r="BU9" s="9">
        <v>5520</v>
      </c>
      <c r="BV9" s="9">
        <v>3755.1020408163267</v>
      </c>
      <c r="BW9" s="9">
        <v>3755.1020408163267</v>
      </c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>
        <v>0</v>
      </c>
      <c r="CM9" s="9" t="s">
        <v>102</v>
      </c>
    </row>
    <row r="10" spans="1:91" x14ac:dyDescent="0.3">
      <c r="A10" s="5" t="s">
        <v>105</v>
      </c>
      <c r="B10" s="5" t="s">
        <v>94</v>
      </c>
      <c r="C10" s="5">
        <v>4000</v>
      </c>
      <c r="D10" s="5">
        <v>4000</v>
      </c>
      <c r="E10" s="5">
        <f>D10*[1]Rentabiliteit!$V$74</f>
        <v>4000</v>
      </c>
      <c r="F10" s="5">
        <v>4000</v>
      </c>
      <c r="G10" s="6">
        <v>98.1</v>
      </c>
      <c r="H10" s="6">
        <v>97</v>
      </c>
      <c r="I10" s="6">
        <v>98</v>
      </c>
      <c r="J10" s="5">
        <v>2</v>
      </c>
      <c r="K10" s="5" t="s">
        <v>96</v>
      </c>
      <c r="L10" s="5">
        <v>2</v>
      </c>
      <c r="M10" s="5">
        <v>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80</v>
      </c>
      <c r="AC10" s="5">
        <v>210</v>
      </c>
      <c r="AD10" s="5">
        <v>800</v>
      </c>
      <c r="AE10" s="5">
        <v>1000</v>
      </c>
      <c r="AF10" s="5">
        <f t="shared" si="2"/>
        <v>0</v>
      </c>
      <c r="AG10" s="5">
        <v>12</v>
      </c>
      <c r="AH10" s="5">
        <v>12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>
        <f t="shared" si="3"/>
        <v>0</v>
      </c>
      <c r="AX10" s="5">
        <v>18</v>
      </c>
      <c r="AY10" s="5">
        <v>18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7" t="s">
        <v>96</v>
      </c>
      <c r="BO10" s="5">
        <v>20.2</v>
      </c>
      <c r="BP10" s="5" t="s">
        <v>97</v>
      </c>
      <c r="BQ10" s="8">
        <v>42041</v>
      </c>
      <c r="BR10" s="5"/>
      <c r="BS10" s="9">
        <f t="shared" si="0"/>
        <v>4081.6326530612246</v>
      </c>
      <c r="BT10" s="6">
        <f t="shared" si="1"/>
        <v>17.391304347826086</v>
      </c>
      <c r="BU10" s="9">
        <v>6000</v>
      </c>
      <c r="BV10" s="9">
        <v>4081.6326530612246</v>
      </c>
      <c r="BW10" s="9">
        <v>4081.6326530612246</v>
      </c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>
        <v>0</v>
      </c>
      <c r="CM10" s="9" t="s">
        <v>102</v>
      </c>
    </row>
    <row r="11" spans="1:91" x14ac:dyDescent="0.3">
      <c r="A11" s="5" t="s">
        <v>106</v>
      </c>
      <c r="B11" s="5" t="s">
        <v>94</v>
      </c>
      <c r="C11" s="5">
        <v>4600</v>
      </c>
      <c r="D11" s="5">
        <v>4600</v>
      </c>
      <c r="E11" s="5">
        <f>D11*[1]Rentabiliteit!$V$74</f>
        <v>4600</v>
      </c>
      <c r="F11" s="5">
        <v>4600</v>
      </c>
      <c r="G11" s="6">
        <v>98.1</v>
      </c>
      <c r="H11" s="6">
        <v>97</v>
      </c>
      <c r="I11" s="6">
        <v>97.9</v>
      </c>
      <c r="J11" s="5">
        <v>2</v>
      </c>
      <c r="K11" s="5" t="s">
        <v>96</v>
      </c>
      <c r="L11" s="5">
        <v>2</v>
      </c>
      <c r="M11" s="5">
        <v>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80</v>
      </c>
      <c r="AC11" s="5">
        <v>240</v>
      </c>
      <c r="AD11" s="5">
        <v>800</v>
      </c>
      <c r="AE11" s="5">
        <v>1000</v>
      </c>
      <c r="AF11" s="5">
        <f t="shared" si="2"/>
        <v>0</v>
      </c>
      <c r="AG11" s="5">
        <v>12</v>
      </c>
      <c r="AH11" s="5">
        <v>12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f t="shared" si="3"/>
        <v>0</v>
      </c>
      <c r="AX11" s="5">
        <v>18</v>
      </c>
      <c r="AY11" s="5">
        <v>18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7" t="s">
        <v>96</v>
      </c>
      <c r="BO11" s="5">
        <v>23.2</v>
      </c>
      <c r="BP11" s="5" t="s">
        <v>97</v>
      </c>
      <c r="BQ11" s="8">
        <v>42041</v>
      </c>
      <c r="BR11" s="5"/>
      <c r="BS11" s="9">
        <f t="shared" si="0"/>
        <v>4698.6721144024514</v>
      </c>
      <c r="BT11" s="6">
        <f t="shared" si="1"/>
        <v>20</v>
      </c>
      <c r="BU11" s="9">
        <v>6900</v>
      </c>
      <c r="BV11" s="9">
        <v>4698.6721144024514</v>
      </c>
      <c r="BW11" s="9">
        <v>4698.6721144024514</v>
      </c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>
        <v>0</v>
      </c>
      <c r="CM11" s="9" t="s">
        <v>102</v>
      </c>
    </row>
    <row r="12" spans="1:91" x14ac:dyDescent="0.3">
      <c r="A12" s="5" t="s">
        <v>107</v>
      </c>
      <c r="B12" s="5" t="s">
        <v>94</v>
      </c>
      <c r="C12" s="5">
        <v>5000</v>
      </c>
      <c r="D12" s="5">
        <v>5000</v>
      </c>
      <c r="E12" s="5">
        <f>D12*[1]Rentabiliteit!$V$74</f>
        <v>5000</v>
      </c>
      <c r="F12" s="5">
        <v>5000</v>
      </c>
      <c r="G12" s="6">
        <v>98.1</v>
      </c>
      <c r="H12" s="6">
        <v>97.1</v>
      </c>
      <c r="I12" s="6">
        <v>97.9</v>
      </c>
      <c r="J12" s="5">
        <v>2</v>
      </c>
      <c r="K12" s="5" t="s">
        <v>96</v>
      </c>
      <c r="L12" s="5">
        <v>2</v>
      </c>
      <c r="M12" s="5">
        <v>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80</v>
      </c>
      <c r="AC12" s="5">
        <v>240</v>
      </c>
      <c r="AD12" s="5">
        <v>800</v>
      </c>
      <c r="AE12" s="5">
        <v>1000</v>
      </c>
      <c r="AF12" s="5">
        <f t="shared" si="2"/>
        <v>0</v>
      </c>
      <c r="AG12" s="5">
        <v>12</v>
      </c>
      <c r="AH12" s="5">
        <v>12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f t="shared" si="3"/>
        <v>0</v>
      </c>
      <c r="AX12" s="5">
        <v>18</v>
      </c>
      <c r="AY12" s="5">
        <v>18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7" t="s">
        <v>96</v>
      </c>
      <c r="BO12" s="5">
        <v>25</v>
      </c>
      <c r="BP12" s="5" t="s">
        <v>97</v>
      </c>
      <c r="BQ12" s="8">
        <v>42041</v>
      </c>
      <c r="BR12" s="5"/>
      <c r="BS12" s="9">
        <f t="shared" si="0"/>
        <v>5107.2522982635337</v>
      </c>
      <c r="BT12" s="6">
        <f t="shared" si="1"/>
        <v>21.739130434782609</v>
      </c>
      <c r="BU12" s="9">
        <v>7500</v>
      </c>
      <c r="BV12" s="9">
        <v>5107.2522982635337</v>
      </c>
      <c r="BW12" s="9">
        <v>5107.2522982635337</v>
      </c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>
        <v>0</v>
      </c>
      <c r="CM12" s="9" t="s">
        <v>102</v>
      </c>
    </row>
    <row r="13" spans="1:91" x14ac:dyDescent="0.3">
      <c r="A13" s="5" t="s">
        <v>108</v>
      </c>
      <c r="B13" s="5" t="s">
        <v>109</v>
      </c>
      <c r="C13" s="5">
        <v>6000</v>
      </c>
      <c r="D13" s="5">
        <v>6000</v>
      </c>
      <c r="E13" s="5">
        <f>D13*[1]Rentabiliteit!$V$74</f>
        <v>6000</v>
      </c>
      <c r="F13" s="5">
        <v>6000</v>
      </c>
      <c r="G13" s="6">
        <v>98</v>
      </c>
      <c r="H13" s="6">
        <v>97.5</v>
      </c>
      <c r="I13" s="6">
        <v>97.9</v>
      </c>
      <c r="J13" s="5">
        <v>2</v>
      </c>
      <c r="K13" s="5" t="s">
        <v>96</v>
      </c>
      <c r="L13" s="5">
        <v>2</v>
      </c>
      <c r="M13" s="5">
        <v>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200</v>
      </c>
      <c r="AC13" s="5">
        <v>195</v>
      </c>
      <c r="AD13" s="5">
        <v>800</v>
      </c>
      <c r="AE13" s="5">
        <v>1000</v>
      </c>
      <c r="AF13" s="5">
        <f t="shared" si="2"/>
        <v>0</v>
      </c>
      <c r="AG13" s="5">
        <v>16</v>
      </c>
      <c r="AH13" s="5">
        <v>16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>
        <f t="shared" si="3"/>
        <v>0</v>
      </c>
      <c r="AX13" s="5">
        <v>24</v>
      </c>
      <c r="AY13" s="5">
        <v>24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7" t="s">
        <v>96</v>
      </c>
      <c r="BO13" s="5">
        <v>9.6</v>
      </c>
      <c r="BP13" s="5" t="s">
        <v>97</v>
      </c>
      <c r="BQ13" s="8">
        <v>42041</v>
      </c>
      <c r="BR13" s="5"/>
      <c r="BS13" s="9">
        <f t="shared" si="0"/>
        <v>6128.7027579162404</v>
      </c>
      <c r="BT13" s="6">
        <f t="shared" ref="BT13:BT23" si="4">F13/400/SQRT(3)</f>
        <v>8.6602540378443873</v>
      </c>
      <c r="BU13" s="9">
        <v>9000</v>
      </c>
      <c r="BV13" s="9">
        <v>6128.7027579162404</v>
      </c>
      <c r="BW13" s="9">
        <v>6128.7027579162404</v>
      </c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>
        <v>0</v>
      </c>
      <c r="CM13" s="9" t="s">
        <v>102</v>
      </c>
    </row>
    <row r="14" spans="1:91" x14ac:dyDescent="0.3">
      <c r="A14" s="5" t="s">
        <v>110</v>
      </c>
      <c r="B14" s="5" t="s">
        <v>109</v>
      </c>
      <c r="C14" s="5">
        <v>7000</v>
      </c>
      <c r="D14" s="5">
        <v>7000</v>
      </c>
      <c r="E14" s="5">
        <f>D14*[1]Rentabiliteit!$V$74</f>
        <v>7000</v>
      </c>
      <c r="F14" s="5">
        <v>7000</v>
      </c>
      <c r="G14" s="6">
        <v>98</v>
      </c>
      <c r="H14" s="6">
        <v>97.6</v>
      </c>
      <c r="I14" s="6">
        <v>97.9</v>
      </c>
      <c r="J14" s="5">
        <v>2</v>
      </c>
      <c r="K14" s="5" t="s">
        <v>96</v>
      </c>
      <c r="L14" s="5">
        <v>2</v>
      </c>
      <c r="M14" s="5">
        <v>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200</v>
      </c>
      <c r="AC14" s="5">
        <v>228</v>
      </c>
      <c r="AD14" s="5">
        <v>800</v>
      </c>
      <c r="AE14" s="5">
        <v>1000</v>
      </c>
      <c r="AF14" s="5">
        <f t="shared" si="2"/>
        <v>0</v>
      </c>
      <c r="AG14" s="5">
        <v>16</v>
      </c>
      <c r="AH14" s="5">
        <v>16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>
        <f t="shared" si="3"/>
        <v>0</v>
      </c>
      <c r="AX14" s="5">
        <v>24</v>
      </c>
      <c r="AY14" s="5">
        <v>24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7" t="s">
        <v>96</v>
      </c>
      <c r="BO14" s="5">
        <v>11.2</v>
      </c>
      <c r="BP14" s="5" t="s">
        <v>97</v>
      </c>
      <c r="BQ14" s="8">
        <v>42041</v>
      </c>
      <c r="BR14" s="5"/>
      <c r="BS14" s="9">
        <f t="shared" si="0"/>
        <v>7150.1532175689472</v>
      </c>
      <c r="BT14" s="6">
        <f t="shared" si="4"/>
        <v>10.103629710818451</v>
      </c>
      <c r="BU14" s="9">
        <v>10500</v>
      </c>
      <c r="BV14" s="9">
        <v>7150.1532175689472</v>
      </c>
      <c r="BW14" s="9">
        <v>7150.1532175689472</v>
      </c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>
        <v>0</v>
      </c>
      <c r="CM14" s="9" t="s">
        <v>102</v>
      </c>
    </row>
    <row r="15" spans="1:91" x14ac:dyDescent="0.3">
      <c r="A15" s="5" t="s">
        <v>111</v>
      </c>
      <c r="B15" s="5" t="s">
        <v>109</v>
      </c>
      <c r="C15" s="5">
        <v>8200</v>
      </c>
      <c r="D15" s="5">
        <v>8200</v>
      </c>
      <c r="E15" s="5">
        <f>D15*[1]Rentabiliteit!$V$74</f>
        <v>8200</v>
      </c>
      <c r="F15" s="5">
        <v>8200</v>
      </c>
      <c r="G15" s="6">
        <v>98</v>
      </c>
      <c r="H15" s="6">
        <v>97.7</v>
      </c>
      <c r="I15" s="6">
        <v>97.8</v>
      </c>
      <c r="J15" s="5">
        <v>2</v>
      </c>
      <c r="K15" s="5" t="s">
        <v>96</v>
      </c>
      <c r="L15" s="5">
        <v>2</v>
      </c>
      <c r="M15" s="5">
        <v>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200</v>
      </c>
      <c r="AC15" s="5">
        <v>267</v>
      </c>
      <c r="AD15" s="5">
        <v>800</v>
      </c>
      <c r="AE15" s="5">
        <v>1000</v>
      </c>
      <c r="AF15" s="5">
        <f t="shared" si="2"/>
        <v>0</v>
      </c>
      <c r="AG15" s="5">
        <v>16</v>
      </c>
      <c r="AH15" s="5">
        <v>16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f t="shared" si="3"/>
        <v>0</v>
      </c>
      <c r="AX15" s="5">
        <v>24</v>
      </c>
      <c r="AY15" s="5">
        <v>24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7" t="s">
        <v>96</v>
      </c>
      <c r="BO15" s="5">
        <v>13.1</v>
      </c>
      <c r="BP15" s="5" t="s">
        <v>97</v>
      </c>
      <c r="BQ15" s="8">
        <v>42041</v>
      </c>
      <c r="BR15" s="5"/>
      <c r="BS15" s="9">
        <f t="shared" si="0"/>
        <v>8384.4580777096107</v>
      </c>
      <c r="BT15" s="6">
        <f t="shared" si="4"/>
        <v>11.835680518387329</v>
      </c>
      <c r="BU15" s="9">
        <v>12300</v>
      </c>
      <c r="BV15" s="9">
        <v>8384.4580777096107</v>
      </c>
      <c r="BW15" s="9">
        <v>8384.4580777096107</v>
      </c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>
        <v>0</v>
      </c>
      <c r="CM15" s="9" t="s">
        <v>102</v>
      </c>
    </row>
    <row r="16" spans="1:91" x14ac:dyDescent="0.3">
      <c r="A16" s="5" t="s">
        <v>112</v>
      </c>
      <c r="B16" s="5" t="s">
        <v>109</v>
      </c>
      <c r="C16" s="5">
        <v>10000</v>
      </c>
      <c r="D16" s="5">
        <v>10000</v>
      </c>
      <c r="E16" s="5">
        <f>D16*[1]Rentabiliteit!$V$74</f>
        <v>10000</v>
      </c>
      <c r="F16" s="5">
        <v>10000</v>
      </c>
      <c r="G16" s="6">
        <v>98</v>
      </c>
      <c r="H16" s="6">
        <v>97.4</v>
      </c>
      <c r="I16" s="6">
        <v>98</v>
      </c>
      <c r="J16" s="5">
        <v>2</v>
      </c>
      <c r="K16" s="5" t="s">
        <v>113</v>
      </c>
      <c r="L16" s="5">
        <v>3</v>
      </c>
      <c r="M16" s="5">
        <v>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200</v>
      </c>
      <c r="AC16" s="5">
        <v>270</v>
      </c>
      <c r="AD16" s="5">
        <v>800</v>
      </c>
      <c r="AE16" s="5">
        <v>1000</v>
      </c>
      <c r="AF16" s="5">
        <f t="shared" si="2"/>
        <v>0</v>
      </c>
      <c r="AG16" s="5">
        <v>27</v>
      </c>
      <c r="AH16" s="5">
        <v>16.5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f t="shared" si="3"/>
        <v>0</v>
      </c>
      <c r="AX16" s="5">
        <v>40.5</v>
      </c>
      <c r="AY16" s="5">
        <v>24.8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7" t="s">
        <v>96</v>
      </c>
      <c r="BO16" s="5">
        <v>16</v>
      </c>
      <c r="BP16" s="5" t="s">
        <v>97</v>
      </c>
      <c r="BQ16" s="8">
        <v>42041</v>
      </c>
      <c r="BR16" s="5"/>
      <c r="BS16" s="9">
        <f t="shared" si="0"/>
        <v>10204.081632653062</v>
      </c>
      <c r="BT16" s="6">
        <f t="shared" si="4"/>
        <v>14.433756729740645</v>
      </c>
      <c r="BU16" s="9">
        <v>15000</v>
      </c>
      <c r="BV16" s="9">
        <v>10204.081632653062</v>
      </c>
      <c r="BW16" s="9">
        <v>10204.081632653062</v>
      </c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>
        <v>0</v>
      </c>
      <c r="CM16" s="9" t="s">
        <v>114</v>
      </c>
    </row>
    <row r="17" spans="1:91" x14ac:dyDescent="0.3">
      <c r="A17" s="5" t="s">
        <v>115</v>
      </c>
      <c r="B17" s="5" t="s">
        <v>109</v>
      </c>
      <c r="C17" s="5">
        <v>10000</v>
      </c>
      <c r="D17" s="5">
        <v>10000</v>
      </c>
      <c r="E17" s="5">
        <f>D17*[1]Rentabiliteit!$V$74</f>
        <v>10000</v>
      </c>
      <c r="F17" s="5">
        <v>10000</v>
      </c>
      <c r="G17" s="6">
        <v>98</v>
      </c>
      <c r="H17" s="6">
        <v>97.4</v>
      </c>
      <c r="I17" s="6">
        <v>98</v>
      </c>
      <c r="J17" s="5">
        <v>2</v>
      </c>
      <c r="K17" s="5" t="s">
        <v>113</v>
      </c>
      <c r="L17" s="5">
        <v>3</v>
      </c>
      <c r="M17" s="5">
        <v>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200</v>
      </c>
      <c r="AC17" s="5">
        <v>270</v>
      </c>
      <c r="AD17" s="5">
        <v>800</v>
      </c>
      <c r="AE17" s="5">
        <v>900</v>
      </c>
      <c r="AF17" s="5">
        <f t="shared" si="2"/>
        <v>0</v>
      </c>
      <c r="AG17" s="5">
        <v>27</v>
      </c>
      <c r="AH17" s="5">
        <v>16.5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f t="shared" si="3"/>
        <v>0</v>
      </c>
      <c r="AX17" s="5">
        <v>40.5</v>
      </c>
      <c r="AY17" s="5">
        <v>24.8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7" t="s">
        <v>96</v>
      </c>
      <c r="BO17" s="5">
        <v>16</v>
      </c>
      <c r="BP17" s="5" t="s">
        <v>97</v>
      </c>
      <c r="BQ17" s="8">
        <v>43286</v>
      </c>
      <c r="BR17" s="5"/>
      <c r="BS17" s="9">
        <f t="shared" si="0"/>
        <v>10204.081632653062</v>
      </c>
      <c r="BT17" s="6">
        <f t="shared" si="4"/>
        <v>14.433756729740645</v>
      </c>
      <c r="BU17" s="9">
        <v>25000</v>
      </c>
      <c r="BV17" s="10">
        <f>MIN(CR16,CR18)*BU17</f>
        <v>0</v>
      </c>
      <c r="BW17" s="10">
        <f>BV17</f>
        <v>0</v>
      </c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>
        <v>0</v>
      </c>
      <c r="CM17" s="9" t="s">
        <v>114</v>
      </c>
    </row>
    <row r="18" spans="1:91" x14ac:dyDescent="0.3">
      <c r="A18" s="5" t="s">
        <v>116</v>
      </c>
      <c r="B18" s="5" t="s">
        <v>109</v>
      </c>
      <c r="C18" s="5">
        <v>12500</v>
      </c>
      <c r="D18" s="5">
        <v>12500</v>
      </c>
      <c r="E18" s="5">
        <f>D18*[1]Rentabiliteit!$V$74</f>
        <v>12500</v>
      </c>
      <c r="F18" s="5">
        <v>12500</v>
      </c>
      <c r="G18" s="6">
        <v>98</v>
      </c>
      <c r="H18" s="6">
        <v>97.6</v>
      </c>
      <c r="I18" s="6">
        <v>97.8</v>
      </c>
      <c r="J18" s="5">
        <v>2</v>
      </c>
      <c r="K18" s="5" t="s">
        <v>113</v>
      </c>
      <c r="L18" s="5">
        <v>3</v>
      </c>
      <c r="M18" s="5">
        <v>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200</v>
      </c>
      <c r="AC18" s="5">
        <v>320</v>
      </c>
      <c r="AD18" s="5">
        <v>800</v>
      </c>
      <c r="AE18" s="5">
        <v>1000</v>
      </c>
      <c r="AF18" s="5">
        <f t="shared" si="2"/>
        <v>0</v>
      </c>
      <c r="AG18" s="5">
        <v>27</v>
      </c>
      <c r="AH18" s="5">
        <v>16.5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f t="shared" si="3"/>
        <v>0</v>
      </c>
      <c r="AX18" s="5">
        <v>40.5</v>
      </c>
      <c r="AY18" s="5">
        <v>24.8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7" t="s">
        <v>96</v>
      </c>
      <c r="BO18" s="5">
        <v>19.899999999999999</v>
      </c>
      <c r="BP18" s="5" t="s">
        <v>97</v>
      </c>
      <c r="BQ18" s="8">
        <v>42122</v>
      </c>
      <c r="BR18" s="5"/>
      <c r="BS18" s="9">
        <f t="shared" si="0"/>
        <v>12781.18609406953</v>
      </c>
      <c r="BT18" s="6">
        <f t="shared" si="4"/>
        <v>18.042195912175806</v>
      </c>
      <c r="BU18" s="9">
        <v>18750</v>
      </c>
      <c r="BV18" s="9">
        <v>12781.18609406953</v>
      </c>
      <c r="BW18" s="9">
        <v>12781.18609406953</v>
      </c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>
        <v>0</v>
      </c>
      <c r="CM18" s="9" t="s">
        <v>114</v>
      </c>
    </row>
    <row r="19" spans="1:91" x14ac:dyDescent="0.3">
      <c r="A19" s="5" t="s">
        <v>117</v>
      </c>
      <c r="B19" s="5" t="s">
        <v>109</v>
      </c>
      <c r="C19" s="5">
        <v>15000</v>
      </c>
      <c r="D19" s="5">
        <v>15000</v>
      </c>
      <c r="E19" s="5">
        <f>D19*[1]Rentabiliteit!$V$74</f>
        <v>15000</v>
      </c>
      <c r="F19" s="5">
        <v>15000</v>
      </c>
      <c r="G19" s="6">
        <v>98.1</v>
      </c>
      <c r="H19" s="6">
        <v>97.8</v>
      </c>
      <c r="I19" s="6">
        <v>98.1</v>
      </c>
      <c r="J19" s="5">
        <v>2</v>
      </c>
      <c r="K19" s="5" t="s">
        <v>113</v>
      </c>
      <c r="L19" s="5">
        <v>3</v>
      </c>
      <c r="M19" s="5">
        <v>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200</v>
      </c>
      <c r="AC19" s="5">
        <v>320</v>
      </c>
      <c r="AD19" s="5">
        <v>800</v>
      </c>
      <c r="AE19" s="5">
        <v>1000</v>
      </c>
      <c r="AF19" s="5">
        <f t="shared" si="2"/>
        <v>0</v>
      </c>
      <c r="AG19" s="5">
        <v>33</v>
      </c>
      <c r="AH19" s="5">
        <v>27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>
        <f t="shared" si="3"/>
        <v>0</v>
      </c>
      <c r="AX19" s="5">
        <v>49.5</v>
      </c>
      <c r="AY19" s="5">
        <v>40.5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7" t="s">
        <v>96</v>
      </c>
      <c r="BO19" s="5">
        <v>23.9</v>
      </c>
      <c r="BP19" s="5" t="s">
        <v>97</v>
      </c>
      <c r="BQ19" s="8">
        <v>42122</v>
      </c>
      <c r="BR19" s="5"/>
      <c r="BS19" s="9">
        <f t="shared" si="0"/>
        <v>15290.519877675841</v>
      </c>
      <c r="BT19" s="6">
        <f t="shared" si="4"/>
        <v>21.650635094610969</v>
      </c>
      <c r="BU19" s="9">
        <v>22500</v>
      </c>
      <c r="BV19" s="9">
        <v>15290.519877675841</v>
      </c>
      <c r="BW19" s="9">
        <v>15290.519877675841</v>
      </c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>
        <v>0</v>
      </c>
      <c r="CM19" s="9" t="s">
        <v>114</v>
      </c>
    </row>
    <row r="20" spans="1:91" x14ac:dyDescent="0.3">
      <c r="A20" s="5" t="s">
        <v>118</v>
      </c>
      <c r="B20" s="5" t="s">
        <v>109</v>
      </c>
      <c r="C20" s="5">
        <v>17500</v>
      </c>
      <c r="D20" s="5">
        <v>17500</v>
      </c>
      <c r="E20" s="5">
        <f>D20*[1]Rentabiliteit!$V$74</f>
        <v>17500</v>
      </c>
      <c r="F20" s="5">
        <v>17500</v>
      </c>
      <c r="G20" s="6">
        <v>98.1</v>
      </c>
      <c r="H20" s="6">
        <v>97.8</v>
      </c>
      <c r="I20" s="6">
        <v>98.1</v>
      </c>
      <c r="J20" s="5">
        <v>2</v>
      </c>
      <c r="K20" s="5" t="s">
        <v>113</v>
      </c>
      <c r="L20" s="5">
        <v>3</v>
      </c>
      <c r="M20" s="5">
        <v>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200</v>
      </c>
      <c r="AC20" s="5">
        <v>370</v>
      </c>
      <c r="AD20" s="5">
        <v>800</v>
      </c>
      <c r="AE20" s="5">
        <v>1000</v>
      </c>
      <c r="AF20" s="5">
        <f t="shared" si="2"/>
        <v>0</v>
      </c>
      <c r="AG20" s="5">
        <v>33</v>
      </c>
      <c r="AH20" s="5">
        <v>27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f t="shared" si="3"/>
        <v>0</v>
      </c>
      <c r="AX20" s="5">
        <v>49.5</v>
      </c>
      <c r="AY20" s="5">
        <v>40.5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7" t="s">
        <v>96</v>
      </c>
      <c r="BO20" s="5">
        <v>27.9</v>
      </c>
      <c r="BP20" s="5" t="s">
        <v>97</v>
      </c>
      <c r="BQ20" s="8">
        <v>42122</v>
      </c>
      <c r="BR20" s="5"/>
      <c r="BS20" s="9">
        <f t="shared" si="0"/>
        <v>17838.939857288482</v>
      </c>
      <c r="BT20" s="6">
        <f t="shared" si="4"/>
        <v>25.259074277046128</v>
      </c>
      <c r="BU20" s="9">
        <v>26250</v>
      </c>
      <c r="BV20" s="9">
        <v>17838.939857288482</v>
      </c>
      <c r="BW20" s="9">
        <v>17838.939857288482</v>
      </c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>
        <v>0</v>
      </c>
      <c r="CM20" s="9" t="s">
        <v>114</v>
      </c>
    </row>
    <row r="21" spans="1:91" x14ac:dyDescent="0.3">
      <c r="A21" s="5" t="s">
        <v>119</v>
      </c>
      <c r="B21" s="5" t="s">
        <v>109</v>
      </c>
      <c r="C21" s="5">
        <v>20000</v>
      </c>
      <c r="D21" s="5">
        <v>20000</v>
      </c>
      <c r="E21" s="5">
        <f>D21*[1]Rentabiliteit!$V$74</f>
        <v>20000</v>
      </c>
      <c r="F21" s="5">
        <v>20000</v>
      </c>
      <c r="G21" s="6">
        <v>98.1</v>
      </c>
      <c r="H21" s="6">
        <v>97.9</v>
      </c>
      <c r="I21" s="6">
        <v>98</v>
      </c>
      <c r="J21" s="5">
        <v>2</v>
      </c>
      <c r="K21" s="5" t="s">
        <v>113</v>
      </c>
      <c r="L21" s="5">
        <v>3</v>
      </c>
      <c r="M21" s="5">
        <v>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200</v>
      </c>
      <c r="AC21" s="5">
        <v>420</v>
      </c>
      <c r="AD21" s="5">
        <v>800</v>
      </c>
      <c r="AE21" s="5">
        <v>1000</v>
      </c>
      <c r="AF21" s="5">
        <f t="shared" si="2"/>
        <v>0</v>
      </c>
      <c r="AG21" s="5">
        <v>33</v>
      </c>
      <c r="AH21" s="5">
        <v>27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f t="shared" si="3"/>
        <v>0</v>
      </c>
      <c r="AX21" s="5">
        <v>49.5</v>
      </c>
      <c r="AY21" s="5">
        <v>40.5</v>
      </c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7" t="s">
        <v>96</v>
      </c>
      <c r="BO21" s="5">
        <v>31.9</v>
      </c>
      <c r="BP21" s="5" t="s">
        <v>97</v>
      </c>
      <c r="BQ21" s="8">
        <v>42122</v>
      </c>
      <c r="BR21" s="5"/>
      <c r="BS21" s="9">
        <f t="shared" si="0"/>
        <v>20408.163265306124</v>
      </c>
      <c r="BT21" s="6">
        <f t="shared" si="4"/>
        <v>28.867513459481291</v>
      </c>
      <c r="BU21" s="9">
        <v>30000</v>
      </c>
      <c r="BV21" s="9">
        <v>20408.163265306124</v>
      </c>
      <c r="BW21" s="9">
        <v>20408.163265306124</v>
      </c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>
        <v>0</v>
      </c>
      <c r="CM21" s="9" t="s">
        <v>114</v>
      </c>
    </row>
    <row r="22" spans="1:91" x14ac:dyDescent="0.3">
      <c r="A22" s="5" t="s">
        <v>120</v>
      </c>
      <c r="B22" s="5" t="s">
        <v>109</v>
      </c>
      <c r="C22" s="5">
        <v>25000</v>
      </c>
      <c r="D22" s="5">
        <v>25000</v>
      </c>
      <c r="E22" s="5">
        <f>D22*[1]Rentabiliteit!$V$74</f>
        <v>25000</v>
      </c>
      <c r="F22" s="5">
        <v>25000</v>
      </c>
      <c r="G22" s="6">
        <v>98.2</v>
      </c>
      <c r="H22" s="6">
        <v>98</v>
      </c>
      <c r="I22" s="6">
        <v>98.2</v>
      </c>
      <c r="J22" s="5">
        <v>1</v>
      </c>
      <c r="K22" s="5" t="s">
        <v>96</v>
      </c>
      <c r="L22" s="5">
        <v>6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650</v>
      </c>
      <c r="AC22" s="5">
        <v>580</v>
      </c>
      <c r="AD22" s="5">
        <v>850</v>
      </c>
      <c r="AE22" s="5">
        <v>1000</v>
      </c>
      <c r="AF22" s="5">
        <f t="shared" si="2"/>
        <v>0</v>
      </c>
      <c r="AG22" s="5">
        <v>44.2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f t="shared" si="3"/>
        <v>0</v>
      </c>
      <c r="AX22" s="5">
        <v>71.599999999999994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7" t="s">
        <v>96</v>
      </c>
      <c r="BO22" s="5">
        <v>36.1</v>
      </c>
      <c r="BP22" s="5" t="s">
        <v>97</v>
      </c>
      <c r="BQ22" s="8">
        <v>42131</v>
      </c>
      <c r="BR22" s="5"/>
      <c r="BS22" s="9">
        <f t="shared" si="0"/>
        <v>25458.248472505093</v>
      </c>
      <c r="BT22" s="6">
        <f t="shared" si="4"/>
        <v>36.084391824351613</v>
      </c>
      <c r="BU22" s="9">
        <v>37800</v>
      </c>
      <c r="BV22" s="9">
        <v>37800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9">
        <v>0</v>
      </c>
      <c r="CM22" s="9" t="s">
        <v>114</v>
      </c>
    </row>
    <row r="23" spans="1:91" x14ac:dyDescent="0.3">
      <c r="A23" s="5" t="s">
        <v>121</v>
      </c>
      <c r="B23" s="5" t="s">
        <v>109</v>
      </c>
      <c r="C23" s="5">
        <v>27000</v>
      </c>
      <c r="D23" s="5">
        <v>27000</v>
      </c>
      <c r="E23" s="5">
        <f>D23*[1]Rentabiliteit!$V$74</f>
        <v>27000</v>
      </c>
      <c r="F23" s="5">
        <v>27000</v>
      </c>
      <c r="G23" s="6">
        <v>98.3</v>
      </c>
      <c r="H23" s="6">
        <v>98</v>
      </c>
      <c r="I23" s="6">
        <v>98.1</v>
      </c>
      <c r="J23" s="5">
        <v>1</v>
      </c>
      <c r="K23" s="5" t="s">
        <v>96</v>
      </c>
      <c r="L23" s="5">
        <v>6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650</v>
      </c>
      <c r="AC23" s="5">
        <v>580</v>
      </c>
      <c r="AD23" s="5">
        <v>850</v>
      </c>
      <c r="AE23" s="5">
        <v>1000</v>
      </c>
      <c r="AF23" s="5">
        <f t="shared" si="2"/>
        <v>0</v>
      </c>
      <c r="AG23" s="5">
        <v>47.7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f t="shared" si="3"/>
        <v>0</v>
      </c>
      <c r="AX23" s="5">
        <v>71.599999999999994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7" t="s">
        <v>96</v>
      </c>
      <c r="BO23" s="5">
        <v>39</v>
      </c>
      <c r="BP23" s="5" t="s">
        <v>97</v>
      </c>
      <c r="BQ23" s="8">
        <v>42131</v>
      </c>
      <c r="BR23" s="5"/>
      <c r="BS23" s="9">
        <f t="shared" si="0"/>
        <v>27522.935779816515</v>
      </c>
      <c r="BT23" s="6">
        <f t="shared" si="4"/>
        <v>38.97114317029974</v>
      </c>
      <c r="BU23" s="9">
        <v>37800</v>
      </c>
      <c r="BV23" s="9">
        <v>37800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9">
        <v>0</v>
      </c>
      <c r="CM23" s="9" t="s">
        <v>114</v>
      </c>
    </row>
    <row r="24" spans="1:91" x14ac:dyDescent="0.3">
      <c r="A24" s="5" t="s">
        <v>122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9">
        <v>9999999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9"/>
      <c r="CM24" s="9"/>
    </row>
    <row r="25" spans="1:9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2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12"/>
      <c r="CM25" s="12"/>
    </row>
    <row r="26" spans="1:91" ht="15.6" x14ac:dyDescent="0.3">
      <c r="A26" s="1" t="s">
        <v>123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11"/>
      <c r="BS26" s="12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</row>
    <row r="27" spans="1:91" x14ac:dyDescent="0.3">
      <c r="A27" s="5" t="s">
        <v>1</v>
      </c>
      <c r="B27" s="5" t="s">
        <v>2</v>
      </c>
      <c r="C27" s="5" t="s">
        <v>3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  <c r="I27" s="5" t="s">
        <v>9</v>
      </c>
      <c r="J27" s="5" t="s">
        <v>10</v>
      </c>
      <c r="K27" s="5" t="s">
        <v>11</v>
      </c>
      <c r="L27" s="5" t="s">
        <v>12</v>
      </c>
      <c r="M27" s="5" t="s">
        <v>13</v>
      </c>
      <c r="N27" s="5" t="s">
        <v>14</v>
      </c>
      <c r="O27" s="5" t="s">
        <v>15</v>
      </c>
      <c r="P27" s="5" t="s">
        <v>16</v>
      </c>
      <c r="Q27" s="5" t="s">
        <v>17</v>
      </c>
      <c r="R27" s="5" t="s">
        <v>18</v>
      </c>
      <c r="S27" s="5" t="s">
        <v>19</v>
      </c>
      <c r="T27" s="5" t="s">
        <v>20</v>
      </c>
      <c r="U27" s="5" t="s">
        <v>21</v>
      </c>
      <c r="V27" s="5" t="s">
        <v>22</v>
      </c>
      <c r="W27" s="5" t="s">
        <v>23</v>
      </c>
      <c r="X27" s="5" t="s">
        <v>24</v>
      </c>
      <c r="Y27" s="5" t="s">
        <v>25</v>
      </c>
      <c r="Z27" s="5" t="s">
        <v>26</v>
      </c>
      <c r="AA27" s="5" t="s">
        <v>27</v>
      </c>
      <c r="AB27" s="5" t="s">
        <v>28</v>
      </c>
      <c r="AC27" s="5" t="s">
        <v>29</v>
      </c>
      <c r="AD27" s="5" t="s">
        <v>30</v>
      </c>
      <c r="AE27" s="5" t="s">
        <v>31</v>
      </c>
      <c r="AF27" s="5" t="s">
        <v>32</v>
      </c>
      <c r="AG27" s="5" t="s">
        <v>33</v>
      </c>
      <c r="AH27" s="5" t="s">
        <v>34</v>
      </c>
      <c r="AI27" s="5" t="s">
        <v>35</v>
      </c>
      <c r="AJ27" s="5" t="s">
        <v>36</v>
      </c>
      <c r="AK27" s="5" t="s">
        <v>37</v>
      </c>
      <c r="AL27" s="5" t="s">
        <v>38</v>
      </c>
      <c r="AM27" s="5" t="s">
        <v>39</v>
      </c>
      <c r="AN27" s="5" t="s">
        <v>40</v>
      </c>
      <c r="AO27" s="5" t="s">
        <v>41</v>
      </c>
      <c r="AP27" s="5" t="s">
        <v>42</v>
      </c>
      <c r="AQ27" s="5" t="s">
        <v>43</v>
      </c>
      <c r="AR27" s="5" t="s">
        <v>44</v>
      </c>
      <c r="AS27" s="5" t="s">
        <v>45</v>
      </c>
      <c r="AT27" s="5" t="s">
        <v>46</v>
      </c>
      <c r="AU27" s="5" t="s">
        <v>47</v>
      </c>
      <c r="AV27" s="5" t="s">
        <v>48</v>
      </c>
      <c r="AW27" s="5" t="s">
        <v>49</v>
      </c>
      <c r="AX27" s="5" t="s">
        <v>50</v>
      </c>
      <c r="AY27" s="5" t="s">
        <v>51</v>
      </c>
      <c r="AZ27" s="5" t="s">
        <v>52</v>
      </c>
      <c r="BA27" s="5" t="s">
        <v>53</v>
      </c>
      <c r="BB27" s="5" t="s">
        <v>54</v>
      </c>
      <c r="BC27" s="5" t="s">
        <v>55</v>
      </c>
      <c r="BD27" s="5" t="s">
        <v>56</v>
      </c>
      <c r="BE27" s="5" t="s">
        <v>57</v>
      </c>
      <c r="BF27" s="5" t="s">
        <v>58</v>
      </c>
      <c r="BG27" s="5" t="s">
        <v>59</v>
      </c>
      <c r="BH27" s="5" t="s">
        <v>60</v>
      </c>
      <c r="BI27" s="5" t="s">
        <v>61</v>
      </c>
      <c r="BJ27" s="5" t="s">
        <v>62</v>
      </c>
      <c r="BK27" s="5" t="s">
        <v>63</v>
      </c>
      <c r="BL27" s="5" t="s">
        <v>64</v>
      </c>
      <c r="BM27" s="5" t="s">
        <v>65</v>
      </c>
      <c r="BN27" s="5" t="s">
        <v>66</v>
      </c>
      <c r="BO27" s="5" t="s">
        <v>67</v>
      </c>
      <c r="BP27" s="5" t="s">
        <v>68</v>
      </c>
      <c r="BQ27" s="5" t="s">
        <v>69</v>
      </c>
      <c r="BR27" s="5" t="s">
        <v>70</v>
      </c>
      <c r="BS27" s="5" t="s">
        <v>71</v>
      </c>
      <c r="BT27" s="5" t="s">
        <v>72</v>
      </c>
      <c r="BU27" s="5" t="s">
        <v>73</v>
      </c>
      <c r="BV27" s="5" t="s">
        <v>74</v>
      </c>
      <c r="BW27" s="5" t="s">
        <v>75</v>
      </c>
      <c r="BX27" s="5" t="s">
        <v>76</v>
      </c>
      <c r="BY27" s="5" t="s">
        <v>77</v>
      </c>
      <c r="BZ27" s="5" t="s">
        <v>78</v>
      </c>
      <c r="CA27" s="5" t="s">
        <v>79</v>
      </c>
      <c r="CB27" s="5" t="s">
        <v>80</v>
      </c>
      <c r="CC27" s="5" t="s">
        <v>81</v>
      </c>
      <c r="CD27" s="5" t="s">
        <v>82</v>
      </c>
      <c r="CE27" s="5" t="s">
        <v>83</v>
      </c>
      <c r="CF27" s="5" t="s">
        <v>84</v>
      </c>
      <c r="CG27" s="5" t="s">
        <v>85</v>
      </c>
      <c r="CH27" s="5" t="s">
        <v>86</v>
      </c>
      <c r="CI27" s="5" t="s">
        <v>87</v>
      </c>
      <c r="CJ27" s="5" t="s">
        <v>88</v>
      </c>
      <c r="CK27" s="5" t="s">
        <v>89</v>
      </c>
      <c r="CL27" s="5" t="s">
        <v>90</v>
      </c>
      <c r="CM27" s="5" t="s">
        <v>91</v>
      </c>
    </row>
    <row r="28" spans="1:91" x14ac:dyDescent="0.3">
      <c r="A28" s="5" t="s">
        <v>92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</row>
    <row r="29" spans="1:91" x14ac:dyDescent="0.3">
      <c r="A29" s="5" t="s">
        <v>124</v>
      </c>
      <c r="B29" s="5" t="s">
        <v>94</v>
      </c>
      <c r="C29" s="5">
        <v>1000</v>
      </c>
      <c r="D29" s="5">
        <v>1100</v>
      </c>
      <c r="E29" s="5">
        <f>D29*[1]Rentabiliteit!$V$74</f>
        <v>1100</v>
      </c>
      <c r="F29" s="5">
        <v>1100</v>
      </c>
      <c r="G29" s="6">
        <v>96</v>
      </c>
      <c r="H29" s="6">
        <v>95.4</v>
      </c>
      <c r="I29" s="13"/>
      <c r="J29" s="5">
        <v>1</v>
      </c>
      <c r="K29" s="5" t="s">
        <v>95</v>
      </c>
      <c r="L29" s="5">
        <v>1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80</v>
      </c>
      <c r="AC29" s="5">
        <v>70</v>
      </c>
      <c r="AD29" s="5">
        <v>400</v>
      </c>
      <c r="AE29" s="5">
        <v>500</v>
      </c>
      <c r="AF29" s="5">
        <f>IF(OR($K29=1,$L29="Yes"),SUM(AG29:AV29),0)</f>
        <v>0</v>
      </c>
      <c r="AG29" s="5">
        <v>10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>
        <f t="shared" ref="AW29:AW89" si="5">IF(OR($K29=1,$L29="Yes"),SUM(AX29:BM29),0)</f>
        <v>0</v>
      </c>
      <c r="AX29" s="14">
        <f t="shared" ref="AX29:AX36" si="6">1.56*AG29</f>
        <v>15.600000000000001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7" t="s">
        <v>96</v>
      </c>
      <c r="BO29" s="6">
        <v>5.2</v>
      </c>
      <c r="BP29" s="5" t="s">
        <v>97</v>
      </c>
      <c r="BQ29" s="8">
        <v>42586</v>
      </c>
      <c r="BR29" s="5"/>
      <c r="BS29" s="9">
        <f t="shared" ref="BS29:BS37" si="7">E29/(IF(I29=0,G29,I29)/100)</f>
        <v>1145.8333333333335</v>
      </c>
      <c r="BT29" s="6">
        <f t="shared" ref="BT29:BT53" si="8">F29/230</f>
        <v>4.7826086956521738</v>
      </c>
      <c r="BU29" s="9">
        <f>140%*D29</f>
        <v>1540</v>
      </c>
      <c r="BV29" s="10">
        <f t="shared" ref="BV29:BV86" si="9">BU29</f>
        <v>1540</v>
      </c>
      <c r="BW29" s="10">
        <f t="shared" ref="BW29:CC89" si="10">BU29</f>
        <v>1540</v>
      </c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>
        <v>0</v>
      </c>
      <c r="CM29" s="9" t="s">
        <v>98</v>
      </c>
    </row>
    <row r="30" spans="1:91" x14ac:dyDescent="0.3">
      <c r="A30" s="5" t="s">
        <v>125</v>
      </c>
      <c r="B30" s="5" t="s">
        <v>94</v>
      </c>
      <c r="C30" s="5">
        <v>1500</v>
      </c>
      <c r="D30" s="5">
        <v>1700</v>
      </c>
      <c r="E30" s="5">
        <f>D30*[1]Rentabiliteit!$V$74</f>
        <v>1700</v>
      </c>
      <c r="F30" s="5">
        <v>1700</v>
      </c>
      <c r="G30" s="6">
        <v>96.5</v>
      </c>
      <c r="H30" s="6">
        <v>96</v>
      </c>
      <c r="I30" s="13"/>
      <c r="J30" s="5">
        <v>1</v>
      </c>
      <c r="K30" s="5" t="s">
        <v>95</v>
      </c>
      <c r="L30" s="5">
        <v>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120</v>
      </c>
      <c r="AC30" s="5">
        <v>100</v>
      </c>
      <c r="AD30" s="5">
        <v>400</v>
      </c>
      <c r="AE30" s="5">
        <v>500</v>
      </c>
      <c r="AF30" s="5">
        <f t="shared" ref="AF30:AF89" si="11">IF(OR($K30=1,$L30="Yes"),SUM(AG30:AV30),0)</f>
        <v>0</v>
      </c>
      <c r="AG30" s="5">
        <v>10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f t="shared" si="5"/>
        <v>0</v>
      </c>
      <c r="AX30" s="14">
        <f t="shared" si="6"/>
        <v>15.600000000000001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7" t="s">
        <v>96</v>
      </c>
      <c r="BO30" s="6">
        <v>8.1</v>
      </c>
      <c r="BP30" s="5" t="s">
        <v>97</v>
      </c>
      <c r="BQ30" s="8">
        <v>42586</v>
      </c>
      <c r="BR30" s="5"/>
      <c r="BS30" s="9">
        <f t="shared" si="7"/>
        <v>1761.6580310880829</v>
      </c>
      <c r="BT30" s="6">
        <f t="shared" si="8"/>
        <v>7.3913043478260869</v>
      </c>
      <c r="BU30" s="9">
        <f>140%*1650</f>
        <v>2310</v>
      </c>
      <c r="BV30" s="10">
        <f t="shared" si="9"/>
        <v>2310</v>
      </c>
      <c r="BW30" s="10">
        <f t="shared" si="10"/>
        <v>2310</v>
      </c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>
        <v>0</v>
      </c>
      <c r="CM30" s="9" t="s">
        <v>98</v>
      </c>
    </row>
    <row r="31" spans="1:91" x14ac:dyDescent="0.3">
      <c r="A31" s="5" t="s">
        <v>126</v>
      </c>
      <c r="B31" s="5" t="s">
        <v>94</v>
      </c>
      <c r="C31" s="5">
        <v>2000</v>
      </c>
      <c r="D31" s="5">
        <v>2200</v>
      </c>
      <c r="E31" s="5">
        <f>D31*[1]Rentabiliteit!$V$74</f>
        <v>2200</v>
      </c>
      <c r="F31" s="5">
        <v>2200</v>
      </c>
      <c r="G31" s="6">
        <v>97</v>
      </c>
      <c r="H31" s="6">
        <v>96.4</v>
      </c>
      <c r="I31" s="13"/>
      <c r="J31" s="5">
        <v>1</v>
      </c>
      <c r="K31" s="5" t="s">
        <v>95</v>
      </c>
      <c r="L31" s="5">
        <v>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120</v>
      </c>
      <c r="AC31" s="5">
        <v>100</v>
      </c>
      <c r="AD31" s="5">
        <v>400</v>
      </c>
      <c r="AE31" s="5">
        <v>500</v>
      </c>
      <c r="AF31" s="5">
        <f t="shared" si="11"/>
        <v>0</v>
      </c>
      <c r="AG31" s="5">
        <v>10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f t="shared" si="5"/>
        <v>0</v>
      </c>
      <c r="AX31" s="14">
        <f t="shared" si="6"/>
        <v>15.600000000000001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7" t="s">
        <v>96</v>
      </c>
      <c r="BO31" s="6">
        <v>10.5</v>
      </c>
      <c r="BP31" s="5" t="s">
        <v>97</v>
      </c>
      <c r="BQ31" s="8">
        <v>42586</v>
      </c>
      <c r="BR31" s="5"/>
      <c r="BS31" s="9">
        <f t="shared" si="7"/>
        <v>2268.0412371134021</v>
      </c>
      <c r="BT31" s="6">
        <f t="shared" si="8"/>
        <v>9.5652173913043477</v>
      </c>
      <c r="BU31" s="9">
        <f>MROUND(127%*D31,100)</f>
        <v>2800</v>
      </c>
      <c r="BV31" s="10">
        <f t="shared" si="9"/>
        <v>2800</v>
      </c>
      <c r="BW31" s="10">
        <f t="shared" si="10"/>
        <v>2800</v>
      </c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>
        <v>0</v>
      </c>
      <c r="CM31" s="9" t="s">
        <v>98</v>
      </c>
    </row>
    <row r="32" spans="1:91" x14ac:dyDescent="0.3">
      <c r="A32" s="5" t="s">
        <v>127</v>
      </c>
      <c r="B32" s="5" t="s">
        <v>94</v>
      </c>
      <c r="C32" s="5">
        <v>2500</v>
      </c>
      <c r="D32" s="5">
        <v>2800</v>
      </c>
      <c r="E32" s="5">
        <f>D32*[1]Rentabiliteit!$V$74</f>
        <v>2800</v>
      </c>
      <c r="F32" s="5">
        <v>2800</v>
      </c>
      <c r="G32" s="6">
        <v>97</v>
      </c>
      <c r="H32" s="6">
        <v>96.4</v>
      </c>
      <c r="I32" s="13"/>
      <c r="J32" s="5">
        <v>2</v>
      </c>
      <c r="K32" s="5" t="s">
        <v>113</v>
      </c>
      <c r="L32" s="5">
        <v>1</v>
      </c>
      <c r="M32" s="5">
        <v>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120</v>
      </c>
      <c r="AC32" s="5">
        <v>100</v>
      </c>
      <c r="AD32" s="5">
        <v>500</v>
      </c>
      <c r="AE32" s="5">
        <v>600</v>
      </c>
      <c r="AF32" s="5">
        <f t="shared" si="11"/>
        <v>0</v>
      </c>
      <c r="AG32" s="5">
        <v>10</v>
      </c>
      <c r="AH32" s="5">
        <v>10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f t="shared" si="5"/>
        <v>0</v>
      </c>
      <c r="AX32" s="14">
        <f t="shared" si="6"/>
        <v>15.600000000000001</v>
      </c>
      <c r="AY32" s="14">
        <f>1.56*AH32</f>
        <v>15.600000000000001</v>
      </c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7" t="s">
        <v>96</v>
      </c>
      <c r="BO32" s="6">
        <v>13.3</v>
      </c>
      <c r="BP32" s="5" t="s">
        <v>97</v>
      </c>
      <c r="BQ32" s="8">
        <v>42577</v>
      </c>
      <c r="BR32" s="5"/>
      <c r="BS32" s="9">
        <f t="shared" si="7"/>
        <v>2886.5979381443299</v>
      </c>
      <c r="BT32" s="6">
        <f t="shared" si="8"/>
        <v>12.173913043478262</v>
      </c>
      <c r="BU32" s="9">
        <f>140%*D32</f>
        <v>3919.9999999999995</v>
      </c>
      <c r="BV32" s="10">
        <f t="shared" si="9"/>
        <v>3919.9999999999995</v>
      </c>
      <c r="BW32" s="10">
        <f t="shared" si="10"/>
        <v>3919.9999999999995</v>
      </c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>
        <v>0</v>
      </c>
      <c r="CM32" s="9" t="s">
        <v>98</v>
      </c>
    </row>
    <row r="33" spans="1:91" x14ac:dyDescent="0.3">
      <c r="A33" s="5" t="s">
        <v>128</v>
      </c>
      <c r="B33" s="5" t="s">
        <v>94</v>
      </c>
      <c r="C33" s="5">
        <v>3000</v>
      </c>
      <c r="D33" s="5">
        <v>3300</v>
      </c>
      <c r="E33" s="5">
        <f>D33*[1]Rentabiliteit!$V$74</f>
        <v>3300</v>
      </c>
      <c r="F33" s="5">
        <v>3300</v>
      </c>
      <c r="G33" s="6">
        <v>97</v>
      </c>
      <c r="H33" s="6">
        <v>96.4</v>
      </c>
      <c r="I33" s="13"/>
      <c r="J33" s="5">
        <v>2</v>
      </c>
      <c r="K33" s="5" t="s">
        <v>113</v>
      </c>
      <c r="L33" s="5">
        <v>1</v>
      </c>
      <c r="M33" s="5">
        <v>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120</v>
      </c>
      <c r="AC33" s="5">
        <v>100</v>
      </c>
      <c r="AD33" s="5">
        <v>500</v>
      </c>
      <c r="AE33" s="5">
        <v>600</v>
      </c>
      <c r="AF33" s="5">
        <f t="shared" si="11"/>
        <v>0</v>
      </c>
      <c r="AG33" s="5">
        <v>10</v>
      </c>
      <c r="AH33" s="5">
        <v>10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f t="shared" si="5"/>
        <v>0</v>
      </c>
      <c r="AX33" s="14">
        <f t="shared" si="6"/>
        <v>15.600000000000001</v>
      </c>
      <c r="AY33" s="14">
        <f>1.56*AH33</f>
        <v>15.600000000000001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7" t="s">
        <v>96</v>
      </c>
      <c r="BO33" s="6">
        <v>15.7</v>
      </c>
      <c r="BP33" s="5" t="s">
        <v>97</v>
      </c>
      <c r="BQ33" s="8">
        <v>42520</v>
      </c>
      <c r="BR33" s="5"/>
      <c r="BS33" s="9">
        <f t="shared" si="7"/>
        <v>3402.0618556701033</v>
      </c>
      <c r="BT33" s="6">
        <f t="shared" si="8"/>
        <v>14.347826086956522</v>
      </c>
      <c r="BU33" s="9">
        <f>140%*D33</f>
        <v>4620</v>
      </c>
      <c r="BV33" s="10">
        <f t="shared" si="9"/>
        <v>4620</v>
      </c>
      <c r="BW33" s="10">
        <f t="shared" si="10"/>
        <v>4620</v>
      </c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>
        <v>0</v>
      </c>
      <c r="CM33" s="9" t="s">
        <v>98</v>
      </c>
    </row>
    <row r="34" spans="1:91" x14ac:dyDescent="0.3">
      <c r="A34" s="5" t="s">
        <v>129</v>
      </c>
      <c r="B34" s="5" t="s">
        <v>94</v>
      </c>
      <c r="C34" s="5">
        <v>3600</v>
      </c>
      <c r="D34" s="5">
        <v>4000</v>
      </c>
      <c r="E34" s="5">
        <f>D34*[1]Rentabiliteit!$V$74</f>
        <v>4000</v>
      </c>
      <c r="F34" s="5">
        <v>4000</v>
      </c>
      <c r="G34" s="6">
        <v>97</v>
      </c>
      <c r="H34" s="6">
        <v>96.4</v>
      </c>
      <c r="I34" s="13"/>
      <c r="J34" s="5">
        <v>2</v>
      </c>
      <c r="K34" s="5" t="s">
        <v>113</v>
      </c>
      <c r="L34" s="5">
        <v>1</v>
      </c>
      <c r="M34" s="5">
        <v>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120</v>
      </c>
      <c r="AC34" s="5">
        <v>100</v>
      </c>
      <c r="AD34" s="5">
        <v>500</v>
      </c>
      <c r="AE34" s="5">
        <v>600</v>
      </c>
      <c r="AF34" s="5">
        <f t="shared" si="11"/>
        <v>0</v>
      </c>
      <c r="AG34" s="5">
        <v>10</v>
      </c>
      <c r="AH34" s="5">
        <v>10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f t="shared" si="5"/>
        <v>0</v>
      </c>
      <c r="AX34" s="14">
        <f t="shared" si="6"/>
        <v>15.600000000000001</v>
      </c>
      <c r="AY34" s="14">
        <f>1.56*AH34</f>
        <v>15.600000000000001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7" t="s">
        <v>96</v>
      </c>
      <c r="BO34" s="6">
        <v>16</v>
      </c>
      <c r="BP34" s="5" t="s">
        <v>97</v>
      </c>
      <c r="BQ34" s="8">
        <v>42520</v>
      </c>
      <c r="BR34" s="5"/>
      <c r="BS34" s="9">
        <f t="shared" si="7"/>
        <v>4123.7113402061859</v>
      </c>
      <c r="BT34" s="6">
        <f t="shared" si="8"/>
        <v>17.391304347826086</v>
      </c>
      <c r="BU34" s="9">
        <f>140%*C34</f>
        <v>5040</v>
      </c>
      <c r="BV34" s="10">
        <f t="shared" si="9"/>
        <v>5040</v>
      </c>
      <c r="BW34" s="10">
        <f t="shared" si="10"/>
        <v>5040</v>
      </c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>
        <v>0</v>
      </c>
      <c r="CM34" s="9" t="s">
        <v>98</v>
      </c>
    </row>
    <row r="35" spans="1:91" x14ac:dyDescent="0.3">
      <c r="A35" s="5" t="s">
        <v>130</v>
      </c>
      <c r="B35" s="5" t="s">
        <v>94</v>
      </c>
      <c r="C35" s="5">
        <v>4000</v>
      </c>
      <c r="D35" s="5">
        <v>4400</v>
      </c>
      <c r="E35" s="5">
        <f>D35*[1]Rentabiliteit!$V$74</f>
        <v>4400</v>
      </c>
      <c r="F35" s="5">
        <v>4400</v>
      </c>
      <c r="G35" s="6">
        <v>97</v>
      </c>
      <c r="H35" s="6">
        <v>96.4</v>
      </c>
      <c r="I35" s="13"/>
      <c r="J35" s="5">
        <v>2</v>
      </c>
      <c r="K35" s="5" t="s">
        <v>113</v>
      </c>
      <c r="L35" s="5">
        <v>1</v>
      </c>
      <c r="M35" s="5">
        <v>1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120</v>
      </c>
      <c r="AC35" s="5">
        <v>100</v>
      </c>
      <c r="AD35" s="5">
        <v>500</v>
      </c>
      <c r="AE35" s="5">
        <v>600</v>
      </c>
      <c r="AF35" s="5">
        <f t="shared" si="11"/>
        <v>0</v>
      </c>
      <c r="AG35" s="5">
        <v>15</v>
      </c>
      <c r="AH35" s="5">
        <v>15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>
        <f t="shared" si="5"/>
        <v>0</v>
      </c>
      <c r="AX35" s="14">
        <f t="shared" si="6"/>
        <v>23.400000000000002</v>
      </c>
      <c r="AY35" s="14">
        <f>1.56*AH35</f>
        <v>23.400000000000002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7" t="s">
        <v>96</v>
      </c>
      <c r="BO35" s="6">
        <v>21</v>
      </c>
      <c r="BP35" s="5" t="s">
        <v>97</v>
      </c>
      <c r="BQ35" s="8">
        <v>42520</v>
      </c>
      <c r="BR35" s="5"/>
      <c r="BS35" s="9">
        <f t="shared" si="7"/>
        <v>4536.0824742268042</v>
      </c>
      <c r="BT35" s="6">
        <f t="shared" si="8"/>
        <v>19.130434782608695</v>
      </c>
      <c r="BU35" s="9">
        <f>140%*D35</f>
        <v>6160</v>
      </c>
      <c r="BV35" s="10">
        <f t="shared" si="9"/>
        <v>6160</v>
      </c>
      <c r="BW35" s="10">
        <f t="shared" si="10"/>
        <v>6160</v>
      </c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>
        <v>0</v>
      </c>
      <c r="CM35" s="9" t="s">
        <v>98</v>
      </c>
    </row>
    <row r="36" spans="1:91" x14ac:dyDescent="0.3">
      <c r="A36" s="5" t="s">
        <v>131</v>
      </c>
      <c r="B36" s="5" t="s">
        <v>94</v>
      </c>
      <c r="C36" s="5">
        <v>4600</v>
      </c>
      <c r="D36" s="5">
        <v>5000</v>
      </c>
      <c r="E36" s="5">
        <f>D36*[1]Rentabiliteit!$V$74</f>
        <v>5000</v>
      </c>
      <c r="F36" s="5">
        <v>5000</v>
      </c>
      <c r="G36" s="6">
        <v>97</v>
      </c>
      <c r="H36" s="6">
        <v>96.4</v>
      </c>
      <c r="I36" s="13"/>
      <c r="J36" s="5">
        <v>2</v>
      </c>
      <c r="K36" s="5" t="s">
        <v>113</v>
      </c>
      <c r="L36" s="5">
        <v>1</v>
      </c>
      <c r="M36" s="5">
        <v>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120</v>
      </c>
      <c r="AC36" s="5">
        <v>100</v>
      </c>
      <c r="AD36" s="5">
        <v>500</v>
      </c>
      <c r="AE36" s="5">
        <v>600</v>
      </c>
      <c r="AF36" s="5">
        <f t="shared" si="11"/>
        <v>0</v>
      </c>
      <c r="AG36" s="5">
        <v>15</v>
      </c>
      <c r="AH36" s="5">
        <v>15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f t="shared" si="5"/>
        <v>0</v>
      </c>
      <c r="AX36" s="14">
        <f t="shared" si="6"/>
        <v>23.400000000000002</v>
      </c>
      <c r="AY36" s="14">
        <f>1.56*AH36</f>
        <v>23.400000000000002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7" t="s">
        <v>96</v>
      </c>
      <c r="BO36" s="6">
        <v>23.8</v>
      </c>
      <c r="BP36" s="5" t="s">
        <v>97</v>
      </c>
      <c r="BQ36" s="8">
        <v>42520</v>
      </c>
      <c r="BR36" s="5"/>
      <c r="BS36" s="9">
        <f t="shared" si="7"/>
        <v>5154.6391752577319</v>
      </c>
      <c r="BT36" s="6">
        <f t="shared" si="8"/>
        <v>21.739130434782609</v>
      </c>
      <c r="BU36" s="9">
        <f>140%*C36</f>
        <v>6440</v>
      </c>
      <c r="BV36" s="10">
        <f t="shared" si="9"/>
        <v>6440</v>
      </c>
      <c r="BW36" s="10">
        <f t="shared" si="10"/>
        <v>6440</v>
      </c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>
        <v>0</v>
      </c>
      <c r="CM36" s="9" t="s">
        <v>98</v>
      </c>
    </row>
    <row r="37" spans="1:91" x14ac:dyDescent="0.3">
      <c r="A37" s="5" t="s">
        <v>132</v>
      </c>
      <c r="B37" s="5" t="s">
        <v>94</v>
      </c>
      <c r="C37" s="5">
        <v>700</v>
      </c>
      <c r="D37" s="5">
        <v>800</v>
      </c>
      <c r="E37" s="5">
        <f>D37*[1]Rentabiliteit!$V$74</f>
        <v>800</v>
      </c>
      <c r="F37" s="5">
        <v>800</v>
      </c>
      <c r="G37" s="6">
        <v>97.2</v>
      </c>
      <c r="H37" s="6">
        <v>96.5</v>
      </c>
      <c r="I37" s="13"/>
      <c r="J37" s="5">
        <v>1</v>
      </c>
      <c r="K37" s="5" t="s">
        <v>95</v>
      </c>
      <c r="L37" s="5">
        <v>1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60</v>
      </c>
      <c r="AC37" s="5">
        <v>50</v>
      </c>
      <c r="AD37" s="5">
        <v>500</v>
      </c>
      <c r="AE37" s="5">
        <v>600</v>
      </c>
      <c r="AF37" s="5">
        <f t="shared" si="11"/>
        <v>0</v>
      </c>
      <c r="AG37" s="5">
        <v>11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f t="shared" si="5"/>
        <v>0</v>
      </c>
      <c r="AX37" s="5">
        <v>17.2</v>
      </c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7" t="s">
        <v>96</v>
      </c>
      <c r="BO37" s="6">
        <v>4.4000000000000004</v>
      </c>
      <c r="BP37" s="5" t="s">
        <v>133</v>
      </c>
      <c r="BQ37" s="8">
        <v>44237</v>
      </c>
      <c r="BR37" s="5"/>
      <c r="BS37" s="9">
        <f t="shared" si="7"/>
        <v>823.04526748971193</v>
      </c>
      <c r="BT37" s="6">
        <f t="shared" si="8"/>
        <v>3.4782608695652173</v>
      </c>
      <c r="BU37" s="15">
        <f t="shared" ref="BU37:BU53" si="12">200%*C37</f>
        <v>1400</v>
      </c>
      <c r="BV37" s="10">
        <f t="shared" si="9"/>
        <v>1400</v>
      </c>
      <c r="BW37" s="10">
        <f t="shared" si="10"/>
        <v>1400</v>
      </c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>
        <v>0</v>
      </c>
      <c r="CM37" s="9" t="s">
        <v>134</v>
      </c>
    </row>
    <row r="38" spans="1:91" x14ac:dyDescent="0.3">
      <c r="A38" s="5" t="s">
        <v>135</v>
      </c>
      <c r="B38" s="5" t="s">
        <v>94</v>
      </c>
      <c r="C38" s="5">
        <v>1000</v>
      </c>
      <c r="D38" s="5">
        <v>1100</v>
      </c>
      <c r="E38" s="5">
        <f>D38*[1]Rentabiliteit!$V$74</f>
        <v>1100</v>
      </c>
      <c r="F38" s="5">
        <v>1100</v>
      </c>
      <c r="G38" s="6">
        <v>97.2</v>
      </c>
      <c r="H38" s="6">
        <v>96.5</v>
      </c>
      <c r="I38" s="13"/>
      <c r="J38" s="5">
        <v>1</v>
      </c>
      <c r="K38" s="5" t="s">
        <v>95</v>
      </c>
      <c r="L38" s="5">
        <v>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60</v>
      </c>
      <c r="AC38" s="5">
        <v>50</v>
      </c>
      <c r="AD38" s="5">
        <v>500</v>
      </c>
      <c r="AE38" s="5">
        <v>600</v>
      </c>
      <c r="AF38" s="5">
        <f t="shared" si="11"/>
        <v>0</v>
      </c>
      <c r="AG38" s="5">
        <v>11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f t="shared" si="5"/>
        <v>0</v>
      </c>
      <c r="AX38" s="5">
        <v>17.2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7" t="s">
        <v>96</v>
      </c>
      <c r="BO38" s="6">
        <v>5.2</v>
      </c>
      <c r="BP38" s="5" t="s">
        <v>133</v>
      </c>
      <c r="BQ38" s="8">
        <v>44237</v>
      </c>
      <c r="BR38" s="5"/>
      <c r="BS38" s="9">
        <v>1128.2051282051282</v>
      </c>
      <c r="BT38" s="6">
        <f t="shared" si="8"/>
        <v>4.7826086956521738</v>
      </c>
      <c r="BU38" s="15">
        <f t="shared" si="12"/>
        <v>2000</v>
      </c>
      <c r="BV38" s="10">
        <f t="shared" si="9"/>
        <v>2000</v>
      </c>
      <c r="BW38" s="10">
        <f t="shared" si="10"/>
        <v>2000</v>
      </c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>
        <v>0</v>
      </c>
      <c r="CM38" s="9" t="s">
        <v>134</v>
      </c>
    </row>
    <row r="39" spans="1:91" x14ac:dyDescent="0.3">
      <c r="A39" s="5" t="s">
        <v>136</v>
      </c>
      <c r="B39" s="5" t="s">
        <v>94</v>
      </c>
      <c r="C39" s="5">
        <v>1500</v>
      </c>
      <c r="D39" s="5">
        <v>1700</v>
      </c>
      <c r="E39" s="5">
        <f>D39*[1]Rentabiliteit!$V$74</f>
        <v>1700</v>
      </c>
      <c r="F39" s="5">
        <v>1700</v>
      </c>
      <c r="G39" s="6">
        <v>97.2</v>
      </c>
      <c r="H39" s="6">
        <v>96.5</v>
      </c>
      <c r="I39" s="13"/>
      <c r="J39" s="5">
        <v>1</v>
      </c>
      <c r="K39" s="5" t="s">
        <v>95</v>
      </c>
      <c r="L39" s="5">
        <v>1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60</v>
      </c>
      <c r="AC39" s="5">
        <v>50</v>
      </c>
      <c r="AD39" s="5">
        <v>500</v>
      </c>
      <c r="AE39" s="5">
        <v>600</v>
      </c>
      <c r="AF39" s="5">
        <f t="shared" si="11"/>
        <v>0</v>
      </c>
      <c r="AG39" s="5">
        <v>11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f t="shared" si="5"/>
        <v>0</v>
      </c>
      <c r="AX39" s="5">
        <v>17.2</v>
      </c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7" t="s">
        <v>96</v>
      </c>
      <c r="BO39" s="6">
        <v>8.1</v>
      </c>
      <c r="BP39" s="5" t="s">
        <v>133</v>
      </c>
      <c r="BQ39" s="8">
        <v>44237</v>
      </c>
      <c r="BR39" s="5"/>
      <c r="BS39" s="9">
        <f t="shared" ref="BS39:BS53" si="13">E39/(IF(I39=0,G39,I39)/100)</f>
        <v>1748.9711934156378</v>
      </c>
      <c r="BT39" s="6">
        <f t="shared" si="8"/>
        <v>7.3913043478260869</v>
      </c>
      <c r="BU39" s="15">
        <f t="shared" si="12"/>
        <v>3000</v>
      </c>
      <c r="BV39" s="10">
        <f t="shared" si="9"/>
        <v>3000</v>
      </c>
      <c r="BW39" s="10">
        <f t="shared" si="10"/>
        <v>3000</v>
      </c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>
        <v>0</v>
      </c>
      <c r="CM39" s="9" t="s">
        <v>134</v>
      </c>
    </row>
    <row r="40" spans="1:91" x14ac:dyDescent="0.3">
      <c r="A40" s="5" t="s">
        <v>137</v>
      </c>
      <c r="B40" s="5" t="s">
        <v>94</v>
      </c>
      <c r="C40" s="5">
        <v>2000</v>
      </c>
      <c r="D40" s="5">
        <v>2200</v>
      </c>
      <c r="E40" s="5">
        <f>D40*[1]Rentabiliteit!$V$74</f>
        <v>2200</v>
      </c>
      <c r="F40" s="5">
        <v>2200</v>
      </c>
      <c r="G40" s="6">
        <v>97.2</v>
      </c>
      <c r="H40" s="6">
        <v>96.5</v>
      </c>
      <c r="I40" s="13"/>
      <c r="J40" s="5">
        <v>1</v>
      </c>
      <c r="K40" s="5" t="s">
        <v>95</v>
      </c>
      <c r="L40" s="5">
        <v>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90</v>
      </c>
      <c r="AC40" s="5">
        <v>80</v>
      </c>
      <c r="AD40" s="5">
        <v>500</v>
      </c>
      <c r="AE40" s="5">
        <v>600</v>
      </c>
      <c r="AF40" s="5">
        <f t="shared" si="11"/>
        <v>0</v>
      </c>
      <c r="AG40" s="5">
        <v>11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f t="shared" si="5"/>
        <v>0</v>
      </c>
      <c r="AX40" s="5">
        <v>17.2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7" t="s">
        <v>96</v>
      </c>
      <c r="BO40" s="6">
        <v>10.5</v>
      </c>
      <c r="BP40" s="5" t="s">
        <v>133</v>
      </c>
      <c r="BQ40" s="8">
        <v>44237</v>
      </c>
      <c r="BR40" s="5"/>
      <c r="BS40" s="9">
        <f t="shared" si="13"/>
        <v>2263.3744855967079</v>
      </c>
      <c r="BT40" s="6">
        <f t="shared" si="8"/>
        <v>9.5652173913043477</v>
      </c>
      <c r="BU40" s="15">
        <f t="shared" si="12"/>
        <v>4000</v>
      </c>
      <c r="BV40" s="10">
        <f t="shared" si="9"/>
        <v>4000</v>
      </c>
      <c r="BW40" s="10">
        <f t="shared" si="10"/>
        <v>4000</v>
      </c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>
        <v>0</v>
      </c>
      <c r="CM40" s="9" t="s">
        <v>134</v>
      </c>
    </row>
    <row r="41" spans="1:91" x14ac:dyDescent="0.3">
      <c r="A41" s="5" t="s">
        <v>138</v>
      </c>
      <c r="B41" s="5" t="s">
        <v>94</v>
      </c>
      <c r="C41" s="5">
        <v>2500</v>
      </c>
      <c r="D41" s="5">
        <v>2800</v>
      </c>
      <c r="E41" s="5">
        <f>D41*[1]Rentabiliteit!$V$74</f>
        <v>2800</v>
      </c>
      <c r="F41" s="5">
        <v>2800</v>
      </c>
      <c r="G41" s="6">
        <v>97.5</v>
      </c>
      <c r="H41" s="6">
        <v>96.8</v>
      </c>
      <c r="I41" s="13"/>
      <c r="J41" s="5">
        <v>1</v>
      </c>
      <c r="K41" s="5" t="s">
        <v>95</v>
      </c>
      <c r="L41" s="5">
        <v>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90</v>
      </c>
      <c r="AC41" s="5">
        <v>80</v>
      </c>
      <c r="AD41" s="5">
        <v>500</v>
      </c>
      <c r="AE41" s="5">
        <v>600</v>
      </c>
      <c r="AF41" s="5">
        <f t="shared" si="11"/>
        <v>0</v>
      </c>
      <c r="AG41" s="5">
        <v>11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f t="shared" si="5"/>
        <v>0</v>
      </c>
      <c r="AX41" s="5">
        <v>17.2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7" t="s">
        <v>96</v>
      </c>
      <c r="BO41" s="6">
        <v>13.3</v>
      </c>
      <c r="BP41" s="5" t="s">
        <v>97</v>
      </c>
      <c r="BQ41" s="8">
        <v>43279</v>
      </c>
      <c r="BR41" s="5"/>
      <c r="BS41" s="9">
        <f t="shared" si="13"/>
        <v>2871.7948717948721</v>
      </c>
      <c r="BT41" s="6">
        <f t="shared" si="8"/>
        <v>12.173913043478262</v>
      </c>
      <c r="BU41" s="15">
        <f t="shared" si="12"/>
        <v>5000</v>
      </c>
      <c r="BV41" s="10">
        <f t="shared" si="9"/>
        <v>5000</v>
      </c>
      <c r="BW41" s="10">
        <f t="shared" si="10"/>
        <v>5000</v>
      </c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>
        <v>0</v>
      </c>
      <c r="CM41" s="9" t="s">
        <v>102</v>
      </c>
    </row>
    <row r="42" spans="1:91" x14ac:dyDescent="0.3">
      <c r="A42" s="5" t="s">
        <v>139</v>
      </c>
      <c r="B42" s="5" t="s">
        <v>94</v>
      </c>
      <c r="C42" s="5">
        <v>3000</v>
      </c>
      <c r="D42" s="5">
        <v>3300</v>
      </c>
      <c r="E42" s="5">
        <f>D42*[1]Rentabiliteit!$V$74</f>
        <v>3300</v>
      </c>
      <c r="F42" s="5">
        <v>3300</v>
      </c>
      <c r="G42" s="6">
        <v>97.5</v>
      </c>
      <c r="H42" s="6">
        <v>96.8</v>
      </c>
      <c r="I42" s="13"/>
      <c r="J42" s="5">
        <v>1</v>
      </c>
      <c r="K42" s="5" t="s">
        <v>95</v>
      </c>
      <c r="L42" s="5">
        <v>1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90</v>
      </c>
      <c r="AC42" s="5">
        <v>80</v>
      </c>
      <c r="AD42" s="5">
        <v>500</v>
      </c>
      <c r="AE42" s="5">
        <v>600</v>
      </c>
      <c r="AF42" s="5">
        <f t="shared" si="11"/>
        <v>0</v>
      </c>
      <c r="AG42" s="5">
        <v>11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f t="shared" si="5"/>
        <v>0</v>
      </c>
      <c r="AX42" s="5">
        <v>17.2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7" t="s">
        <v>96</v>
      </c>
      <c r="BO42" s="6">
        <v>15.7</v>
      </c>
      <c r="BP42" s="5" t="s">
        <v>97</v>
      </c>
      <c r="BQ42" s="8">
        <v>43279</v>
      </c>
      <c r="BR42" s="5"/>
      <c r="BS42" s="9">
        <f t="shared" si="13"/>
        <v>3384.6153846153848</v>
      </c>
      <c r="BT42" s="6">
        <f t="shared" si="8"/>
        <v>14.347826086956522</v>
      </c>
      <c r="BU42" s="15">
        <f t="shared" si="12"/>
        <v>6000</v>
      </c>
      <c r="BV42" s="10">
        <f t="shared" si="9"/>
        <v>6000</v>
      </c>
      <c r="BW42" s="10">
        <f t="shared" si="10"/>
        <v>6000</v>
      </c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>
        <v>0</v>
      </c>
      <c r="CM42" s="9" t="s">
        <v>102</v>
      </c>
    </row>
    <row r="43" spans="1:91" x14ac:dyDescent="0.3">
      <c r="A43" s="5" t="s">
        <v>140</v>
      </c>
      <c r="B43" s="5" t="s">
        <v>94</v>
      </c>
      <c r="C43" s="5">
        <v>3600</v>
      </c>
      <c r="D43" s="5">
        <v>3600</v>
      </c>
      <c r="E43" s="5">
        <f>D43*[1]Rentabiliteit!$V$74</f>
        <v>3600</v>
      </c>
      <c r="F43" s="5">
        <v>3600</v>
      </c>
      <c r="G43" s="6">
        <v>97.5</v>
      </c>
      <c r="H43" s="6">
        <v>96.8</v>
      </c>
      <c r="I43" s="13"/>
      <c r="J43" s="5">
        <v>1</v>
      </c>
      <c r="K43" s="5" t="s">
        <v>95</v>
      </c>
      <c r="L43" s="5">
        <v>2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90</v>
      </c>
      <c r="AC43" s="5">
        <v>80</v>
      </c>
      <c r="AD43" s="5">
        <v>500</v>
      </c>
      <c r="AE43" s="5">
        <v>600</v>
      </c>
      <c r="AF43" s="5">
        <f t="shared" si="11"/>
        <v>0</v>
      </c>
      <c r="AG43" s="5">
        <v>19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f t="shared" si="5"/>
        <v>0</v>
      </c>
      <c r="AX43" s="5">
        <v>30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7" t="s">
        <v>96</v>
      </c>
      <c r="BO43" s="6">
        <v>16</v>
      </c>
      <c r="BP43" s="5" t="s">
        <v>97</v>
      </c>
      <c r="BQ43" s="8">
        <v>43279</v>
      </c>
      <c r="BR43" s="5"/>
      <c r="BS43" s="9">
        <f t="shared" si="13"/>
        <v>3692.3076923076924</v>
      </c>
      <c r="BT43" s="6">
        <f t="shared" si="8"/>
        <v>15.652173913043478</v>
      </c>
      <c r="BU43" s="15">
        <f t="shared" si="12"/>
        <v>7200</v>
      </c>
      <c r="BV43" s="10">
        <f t="shared" si="9"/>
        <v>7200</v>
      </c>
      <c r="BW43" s="10">
        <f t="shared" si="10"/>
        <v>7200</v>
      </c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>
        <v>0</v>
      </c>
      <c r="CM43" s="9" t="s">
        <v>102</v>
      </c>
    </row>
    <row r="44" spans="1:91" x14ac:dyDescent="0.3">
      <c r="A44" s="5" t="s">
        <v>141</v>
      </c>
      <c r="B44" s="5" t="s">
        <v>94</v>
      </c>
      <c r="C44" s="5">
        <v>700</v>
      </c>
      <c r="D44" s="5">
        <v>800</v>
      </c>
      <c r="E44" s="5">
        <f>D44*[1]Rentabiliteit!$V$74</f>
        <v>800</v>
      </c>
      <c r="F44" s="5">
        <v>800</v>
      </c>
      <c r="G44" s="6">
        <v>96.6</v>
      </c>
      <c r="H44" s="6">
        <v>95.3</v>
      </c>
      <c r="I44" s="13"/>
      <c r="J44" s="5">
        <v>1</v>
      </c>
      <c r="K44" s="5" t="s">
        <v>95</v>
      </c>
      <c r="L44" s="5">
        <v>1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60</v>
      </c>
      <c r="AC44" s="5">
        <v>50</v>
      </c>
      <c r="AD44" s="5">
        <v>500</v>
      </c>
      <c r="AE44" s="5">
        <v>600</v>
      </c>
      <c r="AF44" s="5">
        <f>IF(OR($K44=1,$L44="Yes"),SUM(AG44:AV44),0)</f>
        <v>0</v>
      </c>
      <c r="AG44" s="5">
        <v>12.5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f t="shared" si="5"/>
        <v>0</v>
      </c>
      <c r="AX44" s="5">
        <v>17.2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7" t="s">
        <v>96</v>
      </c>
      <c r="BO44" s="6">
        <v>4.4000000000000004</v>
      </c>
      <c r="BP44" s="5" t="s">
        <v>133</v>
      </c>
      <c r="BQ44" s="8">
        <v>44237</v>
      </c>
      <c r="BR44" s="5"/>
      <c r="BS44" s="9">
        <f>E44/(IF(I44=0,G44,I44)/100)</f>
        <v>828.15734989648035</v>
      </c>
      <c r="BT44" s="6">
        <f t="shared" si="8"/>
        <v>3.4782608695652173</v>
      </c>
      <c r="BU44" s="15">
        <f t="shared" si="12"/>
        <v>1400</v>
      </c>
      <c r="BV44" s="10">
        <f t="shared" si="9"/>
        <v>1400</v>
      </c>
      <c r="BW44" s="10">
        <f t="shared" si="10"/>
        <v>1400</v>
      </c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>
        <v>0</v>
      </c>
      <c r="CM44" s="9" t="s">
        <v>142</v>
      </c>
    </row>
    <row r="45" spans="1:91" x14ac:dyDescent="0.3">
      <c r="A45" s="5" t="s">
        <v>143</v>
      </c>
      <c r="B45" s="5" t="s">
        <v>94</v>
      </c>
      <c r="C45" s="5">
        <v>1000</v>
      </c>
      <c r="D45" s="5">
        <v>1100</v>
      </c>
      <c r="E45" s="5">
        <f>D45*[1]Rentabiliteit!$V$74</f>
        <v>1100</v>
      </c>
      <c r="F45" s="5">
        <v>1100</v>
      </c>
      <c r="G45" s="6">
        <v>96.6</v>
      </c>
      <c r="H45" s="6">
        <v>95.3</v>
      </c>
      <c r="I45" s="13"/>
      <c r="J45" s="5">
        <v>1</v>
      </c>
      <c r="K45" s="5" t="s">
        <v>95</v>
      </c>
      <c r="L45" s="5">
        <v>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60</v>
      </c>
      <c r="AC45" s="5">
        <v>50</v>
      </c>
      <c r="AD45" s="5">
        <v>500</v>
      </c>
      <c r="AE45" s="5">
        <v>600</v>
      </c>
      <c r="AF45" s="5">
        <f>IF(OR($K45=1,$L45="Yes"),SUM(AG45:AV45),0)</f>
        <v>0</v>
      </c>
      <c r="AG45" s="5">
        <v>12.5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f t="shared" si="5"/>
        <v>0</v>
      </c>
      <c r="AX45" s="5">
        <v>17.2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7" t="s">
        <v>96</v>
      </c>
      <c r="BO45" s="6">
        <v>5.2</v>
      </c>
      <c r="BP45" s="5" t="s">
        <v>133</v>
      </c>
      <c r="BQ45" s="8">
        <v>44237</v>
      </c>
      <c r="BR45" s="5"/>
      <c r="BS45" s="9">
        <v>1128.2051282051282</v>
      </c>
      <c r="BT45" s="6">
        <f t="shared" si="8"/>
        <v>4.7826086956521738</v>
      </c>
      <c r="BU45" s="15">
        <f t="shared" si="12"/>
        <v>2000</v>
      </c>
      <c r="BV45" s="10">
        <f t="shared" si="9"/>
        <v>2000</v>
      </c>
      <c r="BW45" s="10">
        <f t="shared" si="10"/>
        <v>2000</v>
      </c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>
        <v>0</v>
      </c>
      <c r="CM45" s="9" t="s">
        <v>142</v>
      </c>
    </row>
    <row r="46" spans="1:91" x14ac:dyDescent="0.3">
      <c r="A46" s="5" t="s">
        <v>144</v>
      </c>
      <c r="B46" s="5" t="s">
        <v>94</v>
      </c>
      <c r="C46" s="5">
        <v>1500</v>
      </c>
      <c r="D46" s="5">
        <v>1700</v>
      </c>
      <c r="E46" s="5">
        <f>D46*[1]Rentabiliteit!$V$74</f>
        <v>1700</v>
      </c>
      <c r="F46" s="5">
        <v>1700</v>
      </c>
      <c r="G46" s="6">
        <v>96.6</v>
      </c>
      <c r="H46" s="6">
        <v>95.4</v>
      </c>
      <c r="I46" s="13"/>
      <c r="J46" s="5">
        <v>1</v>
      </c>
      <c r="K46" s="5" t="s">
        <v>95</v>
      </c>
      <c r="L46" s="5">
        <v>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60</v>
      </c>
      <c r="AC46" s="5">
        <v>50</v>
      </c>
      <c r="AD46" s="5">
        <v>500</v>
      </c>
      <c r="AE46" s="5">
        <v>600</v>
      </c>
      <c r="AF46" s="5">
        <f>IF(OR($K46=1,$L46="Yes"),SUM(AG46:AV46),0)</f>
        <v>0</v>
      </c>
      <c r="AG46" s="5">
        <v>12.5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f t="shared" si="5"/>
        <v>0</v>
      </c>
      <c r="AX46" s="5">
        <v>17.2</v>
      </c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7" t="s">
        <v>96</v>
      </c>
      <c r="BO46" s="6">
        <v>8.1</v>
      </c>
      <c r="BP46" s="5" t="s">
        <v>133</v>
      </c>
      <c r="BQ46" s="8">
        <v>44237</v>
      </c>
      <c r="BR46" s="5"/>
      <c r="BS46" s="9">
        <f>E46/(IF(I46=0,G46,I46)/100)</f>
        <v>1759.8343685300208</v>
      </c>
      <c r="BT46" s="6">
        <f t="shared" si="8"/>
        <v>7.3913043478260869</v>
      </c>
      <c r="BU46" s="15">
        <f t="shared" si="12"/>
        <v>3000</v>
      </c>
      <c r="BV46" s="10">
        <f t="shared" si="9"/>
        <v>3000</v>
      </c>
      <c r="BW46" s="10">
        <f t="shared" si="10"/>
        <v>3000</v>
      </c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>
        <v>0</v>
      </c>
      <c r="CM46" s="9" t="s">
        <v>142</v>
      </c>
    </row>
    <row r="47" spans="1:91" x14ac:dyDescent="0.3">
      <c r="A47" s="5" t="s">
        <v>145</v>
      </c>
      <c r="B47" s="5" t="s">
        <v>94</v>
      </c>
      <c r="C47" s="5">
        <v>2000</v>
      </c>
      <c r="D47" s="5">
        <v>2200</v>
      </c>
      <c r="E47" s="5">
        <f>D47*[1]Rentabiliteit!$V$74</f>
        <v>2200</v>
      </c>
      <c r="F47" s="5">
        <v>2200</v>
      </c>
      <c r="G47" s="6">
        <v>97.1</v>
      </c>
      <c r="H47" s="6">
        <v>96.6</v>
      </c>
      <c r="I47" s="13"/>
      <c r="J47" s="5">
        <v>1</v>
      </c>
      <c r="K47" s="5" t="s">
        <v>95</v>
      </c>
      <c r="L47" s="5">
        <v>1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90</v>
      </c>
      <c r="AC47" s="5">
        <v>80</v>
      </c>
      <c r="AD47" s="5">
        <v>500</v>
      </c>
      <c r="AE47" s="5">
        <v>600</v>
      </c>
      <c r="AF47" s="5">
        <f>IF(OR($K47=1,$L47="Yes"),SUM(AG47:AV47),0)</f>
        <v>0</v>
      </c>
      <c r="AG47" s="5">
        <v>12.5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f t="shared" si="5"/>
        <v>0</v>
      </c>
      <c r="AX47" s="5">
        <v>17.2</v>
      </c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7" t="s">
        <v>96</v>
      </c>
      <c r="BO47" s="6">
        <v>10.5</v>
      </c>
      <c r="BP47" s="5" t="s">
        <v>133</v>
      </c>
      <c r="BQ47" s="8">
        <v>44237</v>
      </c>
      <c r="BR47" s="5"/>
      <c r="BS47" s="9">
        <f>E47/(IF(I47=0,G47,I47)/100)</f>
        <v>2265.7054582904225</v>
      </c>
      <c r="BT47" s="6">
        <f t="shared" si="8"/>
        <v>9.5652173913043477</v>
      </c>
      <c r="BU47" s="15">
        <f t="shared" si="12"/>
        <v>4000</v>
      </c>
      <c r="BV47" s="10">
        <f t="shared" si="9"/>
        <v>4000</v>
      </c>
      <c r="BW47" s="10">
        <f t="shared" si="10"/>
        <v>4000</v>
      </c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>
        <v>0</v>
      </c>
      <c r="CM47" s="9" t="s">
        <v>142</v>
      </c>
    </row>
    <row r="48" spans="1:91" x14ac:dyDescent="0.3">
      <c r="A48" s="5" t="s">
        <v>146</v>
      </c>
      <c r="B48" s="5" t="s">
        <v>94</v>
      </c>
      <c r="C48" s="5">
        <v>2500</v>
      </c>
      <c r="D48" s="5">
        <v>2800</v>
      </c>
      <c r="E48" s="5">
        <f>D48*[1]Rentabiliteit!$V$74</f>
        <v>2800</v>
      </c>
      <c r="F48" s="5">
        <v>2800</v>
      </c>
      <c r="G48" s="6">
        <v>97.1</v>
      </c>
      <c r="H48" s="6">
        <v>96.7</v>
      </c>
      <c r="I48" s="13"/>
      <c r="J48" s="5">
        <v>1</v>
      </c>
      <c r="K48" s="5" t="s">
        <v>95</v>
      </c>
      <c r="L48" s="5">
        <v>1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90</v>
      </c>
      <c r="AC48" s="5">
        <v>80</v>
      </c>
      <c r="AD48" s="5">
        <v>500</v>
      </c>
      <c r="AE48" s="5">
        <v>600</v>
      </c>
      <c r="AF48" s="5">
        <f t="shared" si="11"/>
        <v>0</v>
      </c>
      <c r="AG48" s="5">
        <v>12.5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f t="shared" si="5"/>
        <v>0</v>
      </c>
      <c r="AX48" s="5">
        <v>17.2</v>
      </c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7" t="s">
        <v>96</v>
      </c>
      <c r="BO48" s="6">
        <v>13.3</v>
      </c>
      <c r="BP48" s="5" t="s">
        <v>133</v>
      </c>
      <c r="BQ48" s="8">
        <v>44237</v>
      </c>
      <c r="BR48" s="5"/>
      <c r="BS48" s="9">
        <f t="shared" si="13"/>
        <v>2883.6251287332648</v>
      </c>
      <c r="BT48" s="6">
        <f t="shared" si="8"/>
        <v>12.173913043478262</v>
      </c>
      <c r="BU48" s="15">
        <f t="shared" si="12"/>
        <v>5000</v>
      </c>
      <c r="BV48" s="10">
        <f t="shared" si="9"/>
        <v>5000</v>
      </c>
      <c r="BW48" s="10">
        <f t="shared" si="10"/>
        <v>5000</v>
      </c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>
        <v>0</v>
      </c>
      <c r="CM48" s="9" t="s">
        <v>102</v>
      </c>
    </row>
    <row r="49" spans="1:91" x14ac:dyDescent="0.3">
      <c r="A49" s="5" t="s">
        <v>147</v>
      </c>
      <c r="B49" s="5" t="s">
        <v>94</v>
      </c>
      <c r="C49" s="5">
        <v>3000</v>
      </c>
      <c r="D49" s="5">
        <v>3300</v>
      </c>
      <c r="E49" s="5">
        <f>D49*[1]Rentabiliteit!$V$74</f>
        <v>3300</v>
      </c>
      <c r="F49" s="5">
        <v>3300</v>
      </c>
      <c r="G49" s="6">
        <v>97.1</v>
      </c>
      <c r="H49" s="6">
        <v>96.7</v>
      </c>
      <c r="I49" s="13"/>
      <c r="J49" s="5">
        <v>1</v>
      </c>
      <c r="K49" s="5" t="s">
        <v>95</v>
      </c>
      <c r="L49" s="5">
        <v>1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90</v>
      </c>
      <c r="AC49" s="5">
        <v>80</v>
      </c>
      <c r="AD49" s="5">
        <v>500</v>
      </c>
      <c r="AE49" s="5">
        <v>600</v>
      </c>
      <c r="AF49" s="5">
        <f t="shared" si="11"/>
        <v>0</v>
      </c>
      <c r="AG49" s="5">
        <v>12.5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f t="shared" si="5"/>
        <v>0</v>
      </c>
      <c r="AX49" s="5">
        <v>17.2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7" t="s">
        <v>96</v>
      </c>
      <c r="BO49" s="6">
        <v>15.7</v>
      </c>
      <c r="BP49" s="5" t="s">
        <v>133</v>
      </c>
      <c r="BQ49" s="8">
        <v>44237</v>
      </c>
      <c r="BR49" s="5"/>
      <c r="BS49" s="9">
        <f t="shared" si="13"/>
        <v>3398.5581874356335</v>
      </c>
      <c r="BT49" s="6">
        <f t="shared" si="8"/>
        <v>14.347826086956522</v>
      </c>
      <c r="BU49" s="15">
        <f t="shared" si="12"/>
        <v>6000</v>
      </c>
      <c r="BV49" s="10">
        <f t="shared" si="9"/>
        <v>6000</v>
      </c>
      <c r="BW49" s="10">
        <f t="shared" si="10"/>
        <v>6000</v>
      </c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>
        <v>0</v>
      </c>
      <c r="CM49" s="9" t="s">
        <v>102</v>
      </c>
    </row>
    <row r="50" spans="1:91" x14ac:dyDescent="0.3">
      <c r="A50" s="5" t="s">
        <v>148</v>
      </c>
      <c r="B50" s="5" t="s">
        <v>94</v>
      </c>
      <c r="C50" s="5">
        <v>3600</v>
      </c>
      <c r="D50" s="5">
        <v>3600</v>
      </c>
      <c r="E50" s="5">
        <f>D50*[1]Rentabiliteit!$V$74</f>
        <v>3600</v>
      </c>
      <c r="F50" s="5">
        <v>3600</v>
      </c>
      <c r="G50" s="6">
        <v>97.3</v>
      </c>
      <c r="H50" s="6">
        <v>96.8</v>
      </c>
      <c r="I50" s="13"/>
      <c r="J50" s="5">
        <v>1</v>
      </c>
      <c r="K50" s="5" t="s">
        <v>95</v>
      </c>
      <c r="L50" s="5">
        <v>2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90</v>
      </c>
      <c r="AC50" s="5">
        <v>80</v>
      </c>
      <c r="AD50" s="5">
        <v>500</v>
      </c>
      <c r="AE50" s="5">
        <v>600</v>
      </c>
      <c r="AF50" s="5">
        <f t="shared" si="11"/>
        <v>0</v>
      </c>
      <c r="AG50" s="5">
        <v>19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f t="shared" si="5"/>
        <v>0</v>
      </c>
      <c r="AX50" s="5">
        <v>30</v>
      </c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7" t="s">
        <v>96</v>
      </c>
      <c r="BO50" s="6">
        <v>16</v>
      </c>
      <c r="BP50" s="5" t="s">
        <v>133</v>
      </c>
      <c r="BQ50" s="8">
        <v>44237</v>
      </c>
      <c r="BR50" s="5"/>
      <c r="BS50" s="9">
        <f t="shared" si="13"/>
        <v>3699.8972250770812</v>
      </c>
      <c r="BT50" s="6">
        <f t="shared" si="8"/>
        <v>15.652173913043478</v>
      </c>
      <c r="BU50" s="15">
        <f t="shared" si="12"/>
        <v>7200</v>
      </c>
      <c r="BV50" s="10">
        <f t="shared" si="9"/>
        <v>7200</v>
      </c>
      <c r="BW50" s="10">
        <f t="shared" si="10"/>
        <v>7200</v>
      </c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>
        <v>0</v>
      </c>
      <c r="CM50" s="9" t="s">
        <v>102</v>
      </c>
    </row>
    <row r="51" spans="1:91" x14ac:dyDescent="0.3">
      <c r="A51" s="5" t="s">
        <v>149</v>
      </c>
      <c r="B51" s="5" t="s">
        <v>94</v>
      </c>
      <c r="C51" s="5">
        <v>3000</v>
      </c>
      <c r="D51" s="5">
        <v>3300</v>
      </c>
      <c r="E51" s="5">
        <f>D51*[1]Rentabiliteit!$V$74</f>
        <v>3300</v>
      </c>
      <c r="F51" s="5">
        <v>3300</v>
      </c>
      <c r="G51" s="5">
        <v>97.3</v>
      </c>
      <c r="H51" s="5">
        <v>96.6</v>
      </c>
      <c r="I51" s="13"/>
      <c r="J51" s="5">
        <v>2</v>
      </c>
      <c r="K51" s="5" t="s">
        <v>113</v>
      </c>
      <c r="L51" s="5">
        <v>1</v>
      </c>
      <c r="M51" s="5">
        <v>1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120</v>
      </c>
      <c r="AC51" s="5">
        <v>100</v>
      </c>
      <c r="AD51" s="5">
        <v>500</v>
      </c>
      <c r="AE51" s="5">
        <v>600</v>
      </c>
      <c r="AF51" s="5">
        <f t="shared" si="11"/>
        <v>0</v>
      </c>
      <c r="AG51" s="5">
        <v>12.5</v>
      </c>
      <c r="AH51" s="5">
        <f>AG51</f>
        <v>12.5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f t="shared" si="5"/>
        <v>0</v>
      </c>
      <c r="AX51" s="5">
        <v>17.2</v>
      </c>
      <c r="AY51" s="5">
        <v>17.2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7" t="s">
        <v>96</v>
      </c>
      <c r="BO51" s="5">
        <v>15.7</v>
      </c>
      <c r="BP51" s="5" t="s">
        <v>133</v>
      </c>
      <c r="BQ51" s="8">
        <v>44237</v>
      </c>
      <c r="BR51" s="5"/>
      <c r="BS51" s="9">
        <f t="shared" si="13"/>
        <v>3391.5724563206577</v>
      </c>
      <c r="BT51" s="6">
        <f t="shared" si="8"/>
        <v>14.347826086956522</v>
      </c>
      <c r="BU51" s="15">
        <f t="shared" si="12"/>
        <v>6000</v>
      </c>
      <c r="BV51" s="10">
        <f t="shared" si="9"/>
        <v>6000</v>
      </c>
      <c r="BW51" s="10">
        <f t="shared" si="10"/>
        <v>6000</v>
      </c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>
        <v>0</v>
      </c>
      <c r="CM51" s="9" t="s">
        <v>142</v>
      </c>
    </row>
    <row r="52" spans="1:91" x14ac:dyDescent="0.3">
      <c r="A52" s="5" t="s">
        <v>150</v>
      </c>
      <c r="B52" s="5" t="s">
        <v>94</v>
      </c>
      <c r="C52" s="5">
        <v>4000</v>
      </c>
      <c r="D52" s="5">
        <v>4400</v>
      </c>
      <c r="E52" s="5">
        <f>D52*[1]Rentabiliteit!$V$74</f>
        <v>4400</v>
      </c>
      <c r="F52" s="5">
        <v>4400</v>
      </c>
      <c r="G52" s="5">
        <v>97.3</v>
      </c>
      <c r="H52" s="5">
        <v>97.3</v>
      </c>
      <c r="I52" s="13"/>
      <c r="J52" s="5">
        <v>2</v>
      </c>
      <c r="K52" s="5" t="s">
        <v>113</v>
      </c>
      <c r="L52" s="5">
        <v>1</v>
      </c>
      <c r="M52" s="5">
        <v>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120</v>
      </c>
      <c r="AC52" s="5">
        <v>100</v>
      </c>
      <c r="AD52" s="5">
        <v>500</v>
      </c>
      <c r="AE52" s="5">
        <v>600</v>
      </c>
      <c r="AF52" s="5">
        <f t="shared" si="11"/>
        <v>0</v>
      </c>
      <c r="AG52" s="5">
        <v>12.5</v>
      </c>
      <c r="AH52" s="5">
        <f>AG52</f>
        <v>12.5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f t="shared" si="5"/>
        <v>0</v>
      </c>
      <c r="AX52" s="5">
        <v>17.2</v>
      </c>
      <c r="AY52" s="5">
        <v>17.2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7" t="s">
        <v>96</v>
      </c>
      <c r="BO52" s="6">
        <v>21</v>
      </c>
      <c r="BP52" s="5" t="s">
        <v>133</v>
      </c>
      <c r="BQ52" s="8">
        <v>44237</v>
      </c>
      <c r="BR52" s="5"/>
      <c r="BS52" s="9">
        <f t="shared" si="13"/>
        <v>4522.0966084275442</v>
      </c>
      <c r="BT52" s="6">
        <f t="shared" si="8"/>
        <v>19.130434782608695</v>
      </c>
      <c r="BU52" s="15">
        <f t="shared" si="12"/>
        <v>8000</v>
      </c>
      <c r="BV52" s="10">
        <f t="shared" si="9"/>
        <v>8000</v>
      </c>
      <c r="BW52" s="10">
        <f t="shared" si="10"/>
        <v>8000</v>
      </c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>
        <v>0</v>
      </c>
      <c r="CM52" s="9" t="s">
        <v>142</v>
      </c>
    </row>
    <row r="53" spans="1:91" x14ac:dyDescent="0.3">
      <c r="A53" s="5" t="s">
        <v>151</v>
      </c>
      <c r="B53" s="5" t="s">
        <v>94</v>
      </c>
      <c r="C53" s="5">
        <v>4600</v>
      </c>
      <c r="D53" s="5">
        <v>5000</v>
      </c>
      <c r="E53" s="5">
        <f>D53*[1]Rentabiliteit!$V$74</f>
        <v>5000</v>
      </c>
      <c r="F53" s="5">
        <v>5000</v>
      </c>
      <c r="G53" s="5">
        <v>97.6</v>
      </c>
      <c r="H53" s="5">
        <v>97.3</v>
      </c>
      <c r="I53" s="13"/>
      <c r="J53" s="5">
        <v>2</v>
      </c>
      <c r="K53" s="5" t="s">
        <v>113</v>
      </c>
      <c r="L53" s="5">
        <v>1</v>
      </c>
      <c r="M53" s="5">
        <v>1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120</v>
      </c>
      <c r="AC53" s="5">
        <v>100</v>
      </c>
      <c r="AD53" s="5">
        <v>500</v>
      </c>
      <c r="AE53" s="5">
        <v>600</v>
      </c>
      <c r="AF53" s="5">
        <f t="shared" si="11"/>
        <v>0</v>
      </c>
      <c r="AG53" s="5">
        <v>12.5</v>
      </c>
      <c r="AH53" s="5">
        <f>AG53</f>
        <v>12.5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f t="shared" si="5"/>
        <v>0</v>
      </c>
      <c r="AX53" s="5">
        <v>17.2</v>
      </c>
      <c r="AY53" s="5">
        <v>17.2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7" t="s">
        <v>96</v>
      </c>
      <c r="BO53" s="6">
        <v>23.8</v>
      </c>
      <c r="BP53" s="5" t="s">
        <v>133</v>
      </c>
      <c r="BQ53" s="8">
        <v>44237</v>
      </c>
      <c r="BR53" s="5"/>
      <c r="BS53" s="9">
        <f t="shared" si="13"/>
        <v>5122.9508196721308</v>
      </c>
      <c r="BT53" s="6">
        <f t="shared" si="8"/>
        <v>21.739130434782609</v>
      </c>
      <c r="BU53" s="15">
        <f t="shared" si="12"/>
        <v>9200</v>
      </c>
      <c r="BV53" s="10">
        <f t="shared" si="9"/>
        <v>9200</v>
      </c>
      <c r="BW53" s="10">
        <f t="shared" si="10"/>
        <v>9200</v>
      </c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>
        <v>0</v>
      </c>
      <c r="CM53" s="9" t="s">
        <v>142</v>
      </c>
    </row>
    <row r="54" spans="1:91" x14ac:dyDescent="0.3">
      <c r="A54" s="5" t="s">
        <v>152</v>
      </c>
      <c r="B54" s="5" t="s">
        <v>94</v>
      </c>
      <c r="C54" s="5">
        <v>1000</v>
      </c>
      <c r="D54" s="5">
        <v>1100</v>
      </c>
      <c r="E54" s="5">
        <f>D54*[1]Rentabiliteit!$V$74</f>
        <v>1100</v>
      </c>
      <c r="F54" s="5">
        <v>1100</v>
      </c>
      <c r="G54" s="6">
        <v>97.5</v>
      </c>
      <c r="H54" s="6">
        <v>96.8</v>
      </c>
      <c r="I54" s="13"/>
      <c r="J54" s="5">
        <v>1</v>
      </c>
      <c r="K54" s="5" t="s">
        <v>95</v>
      </c>
      <c r="L54" s="5">
        <v>1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60</v>
      </c>
      <c r="AC54" s="5">
        <v>50</v>
      </c>
      <c r="AD54" s="5">
        <v>450</v>
      </c>
      <c r="AE54" s="5">
        <v>550</v>
      </c>
      <c r="AF54" s="5">
        <f t="shared" si="11"/>
        <v>0</v>
      </c>
      <c r="AG54" s="5">
        <v>11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f t="shared" si="5"/>
        <v>0</v>
      </c>
      <c r="AX54" s="14">
        <v>17.16</v>
      </c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7" t="s">
        <v>96</v>
      </c>
      <c r="BO54" s="6">
        <v>5.2</v>
      </c>
      <c r="BP54" s="5" t="s">
        <v>97</v>
      </c>
      <c r="BQ54" s="8">
        <v>42892</v>
      </c>
      <c r="BR54" s="5"/>
      <c r="BS54" s="9">
        <v>1128.2051282051282</v>
      </c>
      <c r="BT54" s="6">
        <v>4.7826086956521738</v>
      </c>
      <c r="BU54" s="10">
        <v>1540</v>
      </c>
      <c r="BV54" s="10">
        <v>1540</v>
      </c>
      <c r="BW54" s="10">
        <v>1540</v>
      </c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>
        <v>0</v>
      </c>
      <c r="CM54" s="9" t="s">
        <v>153</v>
      </c>
    </row>
    <row r="55" spans="1:91" x14ac:dyDescent="0.3">
      <c r="A55" s="5" t="s">
        <v>154</v>
      </c>
      <c r="B55" s="5" t="s">
        <v>94</v>
      </c>
      <c r="C55" s="5">
        <v>1500</v>
      </c>
      <c r="D55" s="5">
        <v>1700</v>
      </c>
      <c r="E55" s="5">
        <f>D55*[1]Rentabiliteit!$V$74</f>
        <v>1700</v>
      </c>
      <c r="F55" s="5">
        <v>1700</v>
      </c>
      <c r="G55" s="6">
        <v>97.5</v>
      </c>
      <c r="H55" s="6">
        <v>96.8</v>
      </c>
      <c r="I55" s="13"/>
      <c r="J55" s="5">
        <v>1</v>
      </c>
      <c r="K55" s="5" t="s">
        <v>95</v>
      </c>
      <c r="L55" s="5">
        <v>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60</v>
      </c>
      <c r="AC55" s="5">
        <v>50</v>
      </c>
      <c r="AD55" s="5">
        <v>450</v>
      </c>
      <c r="AE55" s="5">
        <v>550</v>
      </c>
      <c r="AF55" s="5">
        <f t="shared" si="11"/>
        <v>0</v>
      </c>
      <c r="AG55" s="5">
        <v>11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f t="shared" si="5"/>
        <v>0</v>
      </c>
      <c r="AX55" s="14">
        <f>1.56*AG55</f>
        <v>17.16</v>
      </c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7" t="s">
        <v>96</v>
      </c>
      <c r="BO55" s="6">
        <v>8.1</v>
      </c>
      <c r="BP55" s="5" t="s">
        <v>97</v>
      </c>
      <c r="BQ55" s="8">
        <v>42892</v>
      </c>
      <c r="BR55" s="5"/>
      <c r="BS55" s="9">
        <f t="shared" ref="BS55:BS89" si="14">E55/(IF(I55=0,G55,I55)/100)</f>
        <v>1743.5897435897436</v>
      </c>
      <c r="BT55" s="6">
        <f t="shared" ref="BT55:BT61" si="15">F55/230</f>
        <v>7.3913043478260869</v>
      </c>
      <c r="BU55" s="10">
        <f>140%*1650</f>
        <v>2310</v>
      </c>
      <c r="BV55" s="10">
        <f t="shared" ref="BV55:BV61" si="16">BU55</f>
        <v>2310</v>
      </c>
      <c r="BW55" s="10">
        <f t="shared" ref="BW55:BW61" si="17">BU55</f>
        <v>2310</v>
      </c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>
        <v>0</v>
      </c>
      <c r="CM55" s="9" t="s">
        <v>153</v>
      </c>
    </row>
    <row r="56" spans="1:91" x14ac:dyDescent="0.3">
      <c r="A56" s="5" t="s">
        <v>155</v>
      </c>
      <c r="B56" s="5" t="s">
        <v>94</v>
      </c>
      <c r="C56" s="5">
        <v>2000</v>
      </c>
      <c r="D56" s="5">
        <v>2200</v>
      </c>
      <c r="E56" s="5">
        <f>D56*[1]Rentabiliteit!$V$74</f>
        <v>2200</v>
      </c>
      <c r="F56" s="5">
        <v>2200</v>
      </c>
      <c r="G56" s="6">
        <v>97.5</v>
      </c>
      <c r="H56" s="6">
        <v>96.8</v>
      </c>
      <c r="I56" s="13"/>
      <c r="J56" s="5">
        <v>1</v>
      </c>
      <c r="K56" s="5" t="s">
        <v>95</v>
      </c>
      <c r="L56" s="5">
        <v>1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60</v>
      </c>
      <c r="AC56" s="5">
        <v>50</v>
      </c>
      <c r="AD56" s="5">
        <v>450</v>
      </c>
      <c r="AE56" s="5">
        <v>550</v>
      </c>
      <c r="AF56" s="5">
        <f t="shared" si="11"/>
        <v>0</v>
      </c>
      <c r="AG56" s="5">
        <v>11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f t="shared" si="5"/>
        <v>0</v>
      </c>
      <c r="AX56" s="14">
        <f>1.56*AG56</f>
        <v>17.16</v>
      </c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7" t="s">
        <v>96</v>
      </c>
      <c r="BO56" s="6">
        <v>10.5</v>
      </c>
      <c r="BP56" s="5" t="s">
        <v>97</v>
      </c>
      <c r="BQ56" s="8">
        <v>42892</v>
      </c>
      <c r="BR56" s="5"/>
      <c r="BS56" s="9">
        <f t="shared" si="14"/>
        <v>2256.4102564102564</v>
      </c>
      <c r="BT56" s="6">
        <f t="shared" si="15"/>
        <v>9.5652173913043477</v>
      </c>
      <c r="BU56" s="10">
        <f>MROUND(127%*D56,100)</f>
        <v>2800</v>
      </c>
      <c r="BV56" s="10">
        <f t="shared" si="16"/>
        <v>2800</v>
      </c>
      <c r="BW56" s="10">
        <f t="shared" si="17"/>
        <v>2800</v>
      </c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>
        <v>0</v>
      </c>
      <c r="CM56" s="9" t="s">
        <v>153</v>
      </c>
    </row>
    <row r="57" spans="1:91" x14ac:dyDescent="0.3">
      <c r="A57" s="5" t="s">
        <v>156</v>
      </c>
      <c r="B57" s="5" t="s">
        <v>94</v>
      </c>
      <c r="C57" s="5">
        <v>2500</v>
      </c>
      <c r="D57" s="5">
        <v>2800</v>
      </c>
      <c r="E57" s="5">
        <f>D57*[1]Rentabiliteit!$V$74</f>
        <v>2800</v>
      </c>
      <c r="F57" s="5">
        <v>2800</v>
      </c>
      <c r="G57" s="6">
        <v>97.8</v>
      </c>
      <c r="H57" s="6">
        <v>97.1</v>
      </c>
      <c r="I57" s="13"/>
      <c r="J57" s="5">
        <v>2</v>
      </c>
      <c r="K57" s="5" t="s">
        <v>113</v>
      </c>
      <c r="L57" s="5">
        <v>1</v>
      </c>
      <c r="M57" s="5">
        <v>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60</v>
      </c>
      <c r="AC57" s="5">
        <v>50</v>
      </c>
      <c r="AD57" s="5">
        <v>450</v>
      </c>
      <c r="AE57" s="5">
        <v>550</v>
      </c>
      <c r="AF57" s="5">
        <f t="shared" si="11"/>
        <v>0</v>
      </c>
      <c r="AG57" s="5">
        <v>11</v>
      </c>
      <c r="AH57" s="5">
        <v>11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f t="shared" si="5"/>
        <v>0</v>
      </c>
      <c r="AX57" s="5">
        <v>17.2</v>
      </c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7" t="s">
        <v>96</v>
      </c>
      <c r="BO57" s="6">
        <v>13.3</v>
      </c>
      <c r="BP57" s="5" t="s">
        <v>97</v>
      </c>
      <c r="BQ57" s="8">
        <v>42892</v>
      </c>
      <c r="BR57" s="5"/>
      <c r="BS57" s="9">
        <f t="shared" si="14"/>
        <v>2862.9856850715746</v>
      </c>
      <c r="BT57" s="6">
        <f t="shared" si="15"/>
        <v>12.173913043478262</v>
      </c>
      <c r="BU57" s="9">
        <f>200%*C57</f>
        <v>5000</v>
      </c>
      <c r="BV57" s="10">
        <f t="shared" si="16"/>
        <v>5000</v>
      </c>
      <c r="BW57" s="10">
        <f t="shared" si="17"/>
        <v>5000</v>
      </c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>
        <v>0</v>
      </c>
      <c r="CM57" s="9" t="s">
        <v>102</v>
      </c>
    </row>
    <row r="58" spans="1:91" x14ac:dyDescent="0.3">
      <c r="A58" s="5" t="s">
        <v>157</v>
      </c>
      <c r="B58" s="5" t="s">
        <v>94</v>
      </c>
      <c r="C58" s="5">
        <v>3000</v>
      </c>
      <c r="D58" s="5">
        <v>3300</v>
      </c>
      <c r="E58" s="5">
        <f>D58*[1]Rentabiliteit!$V$74</f>
        <v>3300</v>
      </c>
      <c r="F58" s="5">
        <v>3300</v>
      </c>
      <c r="G58" s="5">
        <v>97.8</v>
      </c>
      <c r="H58" s="5">
        <v>97.1</v>
      </c>
      <c r="I58" s="13"/>
      <c r="J58" s="5">
        <v>2</v>
      </c>
      <c r="K58" s="5" t="s">
        <v>113</v>
      </c>
      <c r="L58" s="5">
        <v>1</v>
      </c>
      <c r="M58" s="5">
        <v>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120</v>
      </c>
      <c r="AC58" s="5">
        <v>100</v>
      </c>
      <c r="AD58" s="5">
        <v>500</v>
      </c>
      <c r="AE58" s="5">
        <v>600</v>
      </c>
      <c r="AF58" s="5">
        <f t="shared" si="11"/>
        <v>0</v>
      </c>
      <c r="AG58" s="5">
        <v>11</v>
      </c>
      <c r="AH58" s="5">
        <f>AG58</f>
        <v>11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f t="shared" si="5"/>
        <v>0</v>
      </c>
      <c r="AX58" s="5">
        <v>17.2</v>
      </c>
      <c r="AY58" s="5">
        <v>17.2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7" t="s">
        <v>96</v>
      </c>
      <c r="BO58" s="5">
        <v>15.7</v>
      </c>
      <c r="BP58" s="5" t="s">
        <v>97</v>
      </c>
      <c r="BQ58" s="8">
        <v>42892</v>
      </c>
      <c r="BR58" s="5"/>
      <c r="BS58" s="9">
        <f t="shared" si="14"/>
        <v>3374.2331288343557</v>
      </c>
      <c r="BT58" s="6">
        <f t="shared" si="15"/>
        <v>14.347826086956522</v>
      </c>
      <c r="BU58" s="15">
        <f>200%*C58</f>
        <v>6000</v>
      </c>
      <c r="BV58" s="10">
        <f t="shared" si="16"/>
        <v>6000</v>
      </c>
      <c r="BW58" s="10">
        <f t="shared" si="17"/>
        <v>6000</v>
      </c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>
        <v>0</v>
      </c>
      <c r="CM58" s="9" t="s">
        <v>134</v>
      </c>
    </row>
    <row r="59" spans="1:91" x14ac:dyDescent="0.3">
      <c r="A59" s="5" t="s">
        <v>158</v>
      </c>
      <c r="B59" s="5" t="s">
        <v>94</v>
      </c>
      <c r="C59" s="5">
        <v>3600</v>
      </c>
      <c r="D59" s="5">
        <v>4000</v>
      </c>
      <c r="E59" s="5">
        <f>D59*[1]Rentabiliteit!$V$74</f>
        <v>4000</v>
      </c>
      <c r="F59" s="5">
        <v>4000</v>
      </c>
      <c r="G59" s="6">
        <v>97.8</v>
      </c>
      <c r="H59" s="6">
        <v>97.1</v>
      </c>
      <c r="I59" s="13"/>
      <c r="J59" s="5">
        <v>2</v>
      </c>
      <c r="K59" s="5" t="s">
        <v>113</v>
      </c>
      <c r="L59" s="5">
        <v>1</v>
      </c>
      <c r="M59" s="5">
        <v>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120</v>
      </c>
      <c r="AC59" s="5">
        <v>100</v>
      </c>
      <c r="AD59" s="5">
        <v>500</v>
      </c>
      <c r="AE59" s="5">
        <v>600</v>
      </c>
      <c r="AF59" s="5">
        <f t="shared" si="11"/>
        <v>0</v>
      </c>
      <c r="AG59" s="5">
        <v>11</v>
      </c>
      <c r="AH59" s="5">
        <f>AG59</f>
        <v>11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f t="shared" si="5"/>
        <v>0</v>
      </c>
      <c r="AX59" s="5">
        <v>17.2</v>
      </c>
      <c r="AY59" s="5">
        <v>17.2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7" t="s">
        <v>96</v>
      </c>
      <c r="BO59" s="6">
        <v>16</v>
      </c>
      <c r="BP59" s="5" t="s">
        <v>97</v>
      </c>
      <c r="BQ59" s="8">
        <v>42892</v>
      </c>
      <c r="BR59" s="5"/>
      <c r="BS59" s="9">
        <f t="shared" si="14"/>
        <v>4089.9795501022495</v>
      </c>
      <c r="BT59" s="6">
        <f t="shared" si="15"/>
        <v>17.391304347826086</v>
      </c>
      <c r="BU59" s="9">
        <f>200%*C59</f>
        <v>7200</v>
      </c>
      <c r="BV59" s="10">
        <f t="shared" si="16"/>
        <v>7200</v>
      </c>
      <c r="BW59" s="10">
        <f t="shared" si="17"/>
        <v>7200</v>
      </c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>
        <v>0</v>
      </c>
      <c r="CM59" s="9" t="s">
        <v>102</v>
      </c>
    </row>
    <row r="60" spans="1:91" x14ac:dyDescent="0.3">
      <c r="A60" s="5" t="s">
        <v>159</v>
      </c>
      <c r="B60" s="5" t="s">
        <v>94</v>
      </c>
      <c r="C60" s="5">
        <v>4000</v>
      </c>
      <c r="D60" s="5">
        <v>4400</v>
      </c>
      <c r="E60" s="5">
        <f>D60*[1]Rentabiliteit!$V$74</f>
        <v>4400</v>
      </c>
      <c r="F60" s="5">
        <v>4400</v>
      </c>
      <c r="G60" s="5">
        <v>98.1</v>
      </c>
      <c r="H60" s="5">
        <v>97.3</v>
      </c>
      <c r="I60" s="13"/>
      <c r="J60" s="5">
        <v>2</v>
      </c>
      <c r="K60" s="5" t="s">
        <v>113</v>
      </c>
      <c r="L60" s="5">
        <v>1</v>
      </c>
      <c r="M60" s="5">
        <v>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120</v>
      </c>
      <c r="AC60" s="5">
        <v>100</v>
      </c>
      <c r="AD60" s="5">
        <v>500</v>
      </c>
      <c r="AE60" s="5">
        <v>600</v>
      </c>
      <c r="AF60" s="5">
        <f t="shared" si="11"/>
        <v>0</v>
      </c>
      <c r="AG60" s="5">
        <v>11</v>
      </c>
      <c r="AH60" s="5">
        <f>AG60</f>
        <v>11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f t="shared" si="5"/>
        <v>0</v>
      </c>
      <c r="AX60" s="5">
        <v>17.2</v>
      </c>
      <c r="AY60" s="5">
        <v>17.2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7" t="s">
        <v>96</v>
      </c>
      <c r="BO60" s="6">
        <v>21</v>
      </c>
      <c r="BP60" s="5" t="s">
        <v>97</v>
      </c>
      <c r="BQ60" s="8">
        <v>42892</v>
      </c>
      <c r="BR60" s="5"/>
      <c r="BS60" s="9">
        <f t="shared" si="14"/>
        <v>4485.2191641182471</v>
      </c>
      <c r="BT60" s="6">
        <f t="shared" si="15"/>
        <v>19.130434782608695</v>
      </c>
      <c r="BU60" s="15">
        <f>200%*C60</f>
        <v>8000</v>
      </c>
      <c r="BV60" s="10">
        <f t="shared" si="16"/>
        <v>8000</v>
      </c>
      <c r="BW60" s="10">
        <f t="shared" si="17"/>
        <v>8000</v>
      </c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>
        <v>0</v>
      </c>
      <c r="CM60" s="9" t="s">
        <v>134</v>
      </c>
    </row>
    <row r="61" spans="1:91" x14ac:dyDescent="0.3">
      <c r="A61" s="5" t="s">
        <v>160</v>
      </c>
      <c r="B61" s="5" t="s">
        <v>94</v>
      </c>
      <c r="C61" s="5">
        <v>4600</v>
      </c>
      <c r="D61" s="5">
        <v>5000</v>
      </c>
      <c r="E61" s="5">
        <f>D61*[1]Rentabiliteit!$V$74</f>
        <v>5000</v>
      </c>
      <c r="F61" s="5">
        <v>5000</v>
      </c>
      <c r="G61" s="5">
        <v>98.1</v>
      </c>
      <c r="H61" s="5">
        <v>97.3</v>
      </c>
      <c r="I61" s="13"/>
      <c r="J61" s="5">
        <v>2</v>
      </c>
      <c r="K61" s="5" t="s">
        <v>113</v>
      </c>
      <c r="L61" s="5">
        <v>1</v>
      </c>
      <c r="M61" s="5">
        <v>1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120</v>
      </c>
      <c r="AC61" s="5">
        <v>100</v>
      </c>
      <c r="AD61" s="5">
        <v>500</v>
      </c>
      <c r="AE61" s="5">
        <v>600</v>
      </c>
      <c r="AF61" s="5">
        <f t="shared" si="11"/>
        <v>0</v>
      </c>
      <c r="AG61" s="5">
        <v>11</v>
      </c>
      <c r="AH61" s="5">
        <f>AG61</f>
        <v>11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>
        <f t="shared" si="5"/>
        <v>0</v>
      </c>
      <c r="AX61" s="5">
        <v>17.2</v>
      </c>
      <c r="AY61" s="5">
        <v>17.2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7" t="s">
        <v>96</v>
      </c>
      <c r="BO61" s="6">
        <v>23.8</v>
      </c>
      <c r="BP61" s="5" t="s">
        <v>97</v>
      </c>
      <c r="BQ61" s="8">
        <v>42892</v>
      </c>
      <c r="BR61" s="5"/>
      <c r="BS61" s="9">
        <f t="shared" si="14"/>
        <v>5096.8399592252808</v>
      </c>
      <c r="BT61" s="6">
        <f t="shared" si="15"/>
        <v>21.739130434782609</v>
      </c>
      <c r="BU61" s="15">
        <f>200%*C61</f>
        <v>9200</v>
      </c>
      <c r="BV61" s="10">
        <f t="shared" si="16"/>
        <v>9200</v>
      </c>
      <c r="BW61" s="10">
        <f t="shared" si="17"/>
        <v>9200</v>
      </c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>
        <v>0</v>
      </c>
      <c r="CM61" s="9" t="s">
        <v>134</v>
      </c>
    </row>
    <row r="62" spans="1:91" x14ac:dyDescent="0.3">
      <c r="A62" s="5" t="s">
        <v>161</v>
      </c>
      <c r="B62" s="5" t="s">
        <v>109</v>
      </c>
      <c r="C62" s="5">
        <v>6000</v>
      </c>
      <c r="D62" s="5">
        <v>6600</v>
      </c>
      <c r="E62" s="5">
        <f>D62*[1]Rentabiliteit!$V$74</f>
        <v>6600</v>
      </c>
      <c r="F62" s="5">
        <v>6600</v>
      </c>
      <c r="G62" s="6">
        <v>98.2</v>
      </c>
      <c r="H62" s="6">
        <v>97.3</v>
      </c>
      <c r="I62" s="13"/>
      <c r="J62" s="5">
        <v>2</v>
      </c>
      <c r="K62" s="5" t="s">
        <v>113</v>
      </c>
      <c r="L62" s="5">
        <v>1</v>
      </c>
      <c r="M62" s="5">
        <v>1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330</v>
      </c>
      <c r="AC62" s="5">
        <v>200</v>
      </c>
      <c r="AD62" s="5">
        <v>800</v>
      </c>
      <c r="AE62" s="5">
        <v>1000</v>
      </c>
      <c r="AF62" s="5">
        <f t="shared" si="11"/>
        <v>0</v>
      </c>
      <c r="AG62" s="5">
        <v>15</v>
      </c>
      <c r="AH62" s="5">
        <v>15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f t="shared" si="5"/>
        <v>0</v>
      </c>
      <c r="AX62" s="14">
        <f>1.56*AG62</f>
        <v>23.400000000000002</v>
      </c>
      <c r="AY62" s="14">
        <f>1.56*AH62</f>
        <v>23.400000000000002</v>
      </c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7" t="s">
        <v>96</v>
      </c>
      <c r="BO62" s="6">
        <v>10</v>
      </c>
      <c r="BP62" s="5" t="s">
        <v>97</v>
      </c>
      <c r="BQ62" s="8">
        <v>42520</v>
      </c>
      <c r="BR62" s="5"/>
      <c r="BS62" s="9">
        <f t="shared" si="14"/>
        <v>6720.9775967413443</v>
      </c>
      <c r="BT62" s="6">
        <f t="shared" ref="BT62:BT76" si="18">F62/400/SQRT(3)</f>
        <v>9.5262794416288248</v>
      </c>
      <c r="BU62" s="9">
        <f>160%*C62</f>
        <v>9600</v>
      </c>
      <c r="BV62" s="10">
        <f t="shared" si="9"/>
        <v>9600</v>
      </c>
      <c r="BW62" s="10">
        <f t="shared" si="10"/>
        <v>9600</v>
      </c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>
        <v>0</v>
      </c>
      <c r="CM62" s="9" t="s">
        <v>98</v>
      </c>
    </row>
    <row r="63" spans="1:91" x14ac:dyDescent="0.3">
      <c r="A63" s="5" t="s">
        <v>162</v>
      </c>
      <c r="B63" s="5" t="s">
        <v>109</v>
      </c>
      <c r="C63" s="5">
        <v>10000</v>
      </c>
      <c r="D63" s="5">
        <v>10000</v>
      </c>
      <c r="E63" s="5">
        <f>D63*[1]Rentabiliteit!$V$74</f>
        <v>10000</v>
      </c>
      <c r="F63" s="5">
        <v>10000</v>
      </c>
      <c r="G63" s="6">
        <v>98.2</v>
      </c>
      <c r="H63" s="6">
        <v>97.3</v>
      </c>
      <c r="I63" s="13"/>
      <c r="J63" s="5">
        <v>2</v>
      </c>
      <c r="K63" s="5" t="s">
        <v>113</v>
      </c>
      <c r="L63" s="5">
        <v>2</v>
      </c>
      <c r="M63" s="5">
        <v>2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330</v>
      </c>
      <c r="AC63" s="5">
        <v>200</v>
      </c>
      <c r="AD63" s="5">
        <v>800</v>
      </c>
      <c r="AE63" s="5">
        <v>1000</v>
      </c>
      <c r="AF63" s="5">
        <f t="shared" si="11"/>
        <v>0</v>
      </c>
      <c r="AG63" s="5">
        <v>18</v>
      </c>
      <c r="AH63" s="5">
        <v>18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f t="shared" si="5"/>
        <v>0</v>
      </c>
      <c r="AX63" s="14">
        <f>1.56*AG63</f>
        <v>28.080000000000002</v>
      </c>
      <c r="AY63" s="14">
        <f>1.56*AH63</f>
        <v>28.080000000000002</v>
      </c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7" t="s">
        <v>96</v>
      </c>
      <c r="BO63" s="6">
        <v>16.7</v>
      </c>
      <c r="BP63" s="5" t="s">
        <v>97</v>
      </c>
      <c r="BQ63" s="8">
        <v>42520</v>
      </c>
      <c r="BR63" s="5"/>
      <c r="BS63" s="9">
        <f t="shared" si="14"/>
        <v>10183.299389002037</v>
      </c>
      <c r="BT63" s="6">
        <f t="shared" si="18"/>
        <v>14.433756729740645</v>
      </c>
      <c r="BU63" s="9">
        <f>140%*D63</f>
        <v>14000</v>
      </c>
      <c r="BV63" s="10">
        <f t="shared" si="9"/>
        <v>14000</v>
      </c>
      <c r="BW63" s="10">
        <f t="shared" si="10"/>
        <v>14000</v>
      </c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>
        <v>0</v>
      </c>
      <c r="CM63" s="9" t="s">
        <v>98</v>
      </c>
    </row>
    <row r="64" spans="1:91" x14ac:dyDescent="0.3">
      <c r="A64" s="5" t="s">
        <v>163</v>
      </c>
      <c r="B64" s="16" t="s">
        <v>109</v>
      </c>
      <c r="C64" s="16">
        <v>6000</v>
      </c>
      <c r="D64" s="16">
        <v>6600</v>
      </c>
      <c r="E64" s="5">
        <f>D64*[1]Rentabiliteit!$V$74</f>
        <v>6600</v>
      </c>
      <c r="F64" s="16">
        <v>6600</v>
      </c>
      <c r="G64" s="17">
        <v>98.3</v>
      </c>
      <c r="H64" s="17">
        <v>97.8</v>
      </c>
      <c r="I64" s="17">
        <v>97.8</v>
      </c>
      <c r="J64" s="16">
        <v>2</v>
      </c>
      <c r="K64" s="5" t="s">
        <v>113</v>
      </c>
      <c r="L64" s="16">
        <v>1</v>
      </c>
      <c r="M64" s="16">
        <v>1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>
        <v>180</v>
      </c>
      <c r="AC64" s="16">
        <v>160</v>
      </c>
      <c r="AD64" s="16">
        <v>850</v>
      </c>
      <c r="AE64" s="16">
        <v>1000</v>
      </c>
      <c r="AF64" s="5">
        <f t="shared" si="11"/>
        <v>0</v>
      </c>
      <c r="AG64" s="16">
        <v>11</v>
      </c>
      <c r="AH64" s="16">
        <v>11</v>
      </c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5">
        <f t="shared" si="5"/>
        <v>0</v>
      </c>
      <c r="AX64" s="16">
        <v>17.2</v>
      </c>
      <c r="AY64" s="16">
        <v>17.2</v>
      </c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8" t="s">
        <v>96</v>
      </c>
      <c r="BO64" s="17">
        <v>9.5</v>
      </c>
      <c r="BP64" s="16" t="s">
        <v>164</v>
      </c>
      <c r="BQ64" s="19">
        <v>43893</v>
      </c>
      <c r="BR64" s="16"/>
      <c r="BS64" s="15">
        <f t="shared" si="14"/>
        <v>6748.4662576687115</v>
      </c>
      <c r="BT64" s="17">
        <f t="shared" si="18"/>
        <v>9.5262794416288248</v>
      </c>
      <c r="BU64" s="15">
        <f t="shared" ref="BU64:BU67" si="19">200%*C64</f>
        <v>12000</v>
      </c>
      <c r="BV64" s="20">
        <f t="shared" si="9"/>
        <v>12000</v>
      </c>
      <c r="BW64" s="20">
        <f t="shared" si="10"/>
        <v>12000</v>
      </c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>
        <v>0</v>
      </c>
      <c r="CM64" s="9" t="s">
        <v>165</v>
      </c>
    </row>
    <row r="65" spans="1:91" x14ac:dyDescent="0.3">
      <c r="A65" s="5" t="s">
        <v>166</v>
      </c>
      <c r="B65" s="16" t="s">
        <v>109</v>
      </c>
      <c r="C65" s="16">
        <v>8000</v>
      </c>
      <c r="D65" s="16">
        <v>8800</v>
      </c>
      <c r="E65" s="5">
        <f>D65*[1]Rentabiliteit!$V$74</f>
        <v>8800</v>
      </c>
      <c r="F65" s="16">
        <v>8800</v>
      </c>
      <c r="G65" s="17">
        <v>98.3</v>
      </c>
      <c r="H65" s="17">
        <v>97.8</v>
      </c>
      <c r="I65" s="17">
        <v>98.5</v>
      </c>
      <c r="J65" s="16">
        <v>2</v>
      </c>
      <c r="K65" s="5" t="s">
        <v>113</v>
      </c>
      <c r="L65" s="16">
        <v>2</v>
      </c>
      <c r="M65" s="16">
        <v>2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>
        <v>180</v>
      </c>
      <c r="AC65" s="16">
        <v>160</v>
      </c>
      <c r="AD65" s="16">
        <v>850</v>
      </c>
      <c r="AE65" s="16">
        <v>1000</v>
      </c>
      <c r="AF65" s="5">
        <f t="shared" si="11"/>
        <v>0</v>
      </c>
      <c r="AG65" s="16">
        <v>22</v>
      </c>
      <c r="AH65" s="16">
        <v>22</v>
      </c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5">
        <f t="shared" si="5"/>
        <v>0</v>
      </c>
      <c r="AX65" s="16">
        <v>34.299999999999997</v>
      </c>
      <c r="AY65" s="16">
        <v>34.299999999999997</v>
      </c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8" t="s">
        <v>96</v>
      </c>
      <c r="BO65" s="17">
        <v>12.7</v>
      </c>
      <c r="BP65" s="16" t="s">
        <v>97</v>
      </c>
      <c r="BQ65" s="19">
        <v>43917</v>
      </c>
      <c r="BR65" s="16"/>
      <c r="BS65" s="15">
        <f t="shared" si="14"/>
        <v>8934.0101522842633</v>
      </c>
      <c r="BT65" s="17">
        <f t="shared" si="18"/>
        <v>12.701705922171767</v>
      </c>
      <c r="BU65" s="15">
        <f t="shared" si="19"/>
        <v>16000</v>
      </c>
      <c r="BV65" s="20">
        <f t="shared" si="9"/>
        <v>16000</v>
      </c>
      <c r="BW65" s="20">
        <f t="shared" si="10"/>
        <v>16000</v>
      </c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>
        <v>0</v>
      </c>
      <c r="CM65" s="9" t="s">
        <v>165</v>
      </c>
    </row>
    <row r="66" spans="1:91" ht="15.6" x14ac:dyDescent="0.3">
      <c r="A66" s="5" t="s">
        <v>167</v>
      </c>
      <c r="B66" s="16" t="s">
        <v>109</v>
      </c>
      <c r="C66" s="16">
        <v>10000</v>
      </c>
      <c r="D66" s="16">
        <v>10000</v>
      </c>
      <c r="E66" s="5">
        <f>D66*[1]Rentabiliteit!$V$74</f>
        <v>10000</v>
      </c>
      <c r="F66" s="21">
        <v>11000</v>
      </c>
      <c r="G66" s="17">
        <v>98.7</v>
      </c>
      <c r="H66" s="17">
        <v>98.1</v>
      </c>
      <c r="I66" s="17">
        <v>98.5</v>
      </c>
      <c r="J66" s="16">
        <v>2</v>
      </c>
      <c r="K66" s="5" t="s">
        <v>113</v>
      </c>
      <c r="L66" s="16">
        <v>2</v>
      </c>
      <c r="M66" s="16">
        <v>2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>
        <v>180</v>
      </c>
      <c r="AC66" s="16">
        <v>160</v>
      </c>
      <c r="AD66" s="16">
        <v>850</v>
      </c>
      <c r="AE66" s="16">
        <v>1000</v>
      </c>
      <c r="AF66" s="5">
        <f t="shared" si="11"/>
        <v>0</v>
      </c>
      <c r="AG66" s="16">
        <v>22</v>
      </c>
      <c r="AH66" s="16">
        <v>22</v>
      </c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5">
        <f t="shared" si="5"/>
        <v>0</v>
      </c>
      <c r="AX66" s="16">
        <v>34.299999999999997</v>
      </c>
      <c r="AY66" s="16">
        <v>34.299999999999997</v>
      </c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8" t="s">
        <v>96</v>
      </c>
      <c r="BO66" s="17">
        <v>15.9</v>
      </c>
      <c r="BP66" s="16" t="s">
        <v>97</v>
      </c>
      <c r="BQ66" s="19">
        <v>43917</v>
      </c>
      <c r="BR66" s="16"/>
      <c r="BS66" s="15">
        <f t="shared" si="14"/>
        <v>10152.284263959391</v>
      </c>
      <c r="BT66" s="17">
        <f t="shared" si="18"/>
        <v>15.877132402714709</v>
      </c>
      <c r="BU66" s="15">
        <f t="shared" si="19"/>
        <v>20000</v>
      </c>
      <c r="BV66" s="20">
        <f>BU66</f>
        <v>20000</v>
      </c>
      <c r="BW66" s="20">
        <f>BU66</f>
        <v>20000</v>
      </c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>
        <v>0</v>
      </c>
      <c r="CM66" s="9" t="s">
        <v>168</v>
      </c>
    </row>
    <row r="67" spans="1:91" ht="15.6" x14ac:dyDescent="0.3">
      <c r="A67" s="5" t="s">
        <v>169</v>
      </c>
      <c r="B67" s="22" t="s">
        <v>170</v>
      </c>
      <c r="C67" s="16">
        <v>10000</v>
      </c>
      <c r="D67" s="21">
        <v>11000</v>
      </c>
      <c r="E67" s="22">
        <f>D67*[1]Rentabiliteit!$V$74</f>
        <v>11000</v>
      </c>
      <c r="F67" s="21">
        <v>11000</v>
      </c>
      <c r="G67" s="17">
        <v>98</v>
      </c>
      <c r="H67" s="17">
        <v>97.5</v>
      </c>
      <c r="I67" s="23"/>
      <c r="J67" s="16">
        <v>2</v>
      </c>
      <c r="K67" s="5" t="s">
        <v>113</v>
      </c>
      <c r="L67" s="16">
        <v>4</v>
      </c>
      <c r="M67" s="16">
        <v>4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>
        <v>180</v>
      </c>
      <c r="AC67" s="16">
        <v>160</v>
      </c>
      <c r="AD67" s="16">
        <v>500</v>
      </c>
      <c r="AE67" s="16">
        <v>1000</v>
      </c>
      <c r="AF67" s="5">
        <f t="shared" si="11"/>
        <v>0</v>
      </c>
      <c r="AG67" s="16">
        <v>22</v>
      </c>
      <c r="AH67" s="16">
        <v>22</v>
      </c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5">
        <f t="shared" si="5"/>
        <v>0</v>
      </c>
      <c r="AX67" s="16">
        <v>34.299999999999997</v>
      </c>
      <c r="AY67" s="16">
        <v>34.299999999999997</v>
      </c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8" t="s">
        <v>96</v>
      </c>
      <c r="BO67" s="17">
        <v>28.8</v>
      </c>
      <c r="BP67" s="16" t="s">
        <v>171</v>
      </c>
      <c r="BQ67" s="19">
        <v>44802</v>
      </c>
      <c r="BR67" s="16"/>
      <c r="BS67" s="15">
        <f t="shared" si="14"/>
        <v>11224.489795918367</v>
      </c>
      <c r="BT67" s="17">
        <f>F67/230/SQRT(3)</f>
        <v>27.612404178634279</v>
      </c>
      <c r="BU67" s="15">
        <f t="shared" si="19"/>
        <v>20000</v>
      </c>
      <c r="BV67" s="20">
        <f>BU67</f>
        <v>20000</v>
      </c>
      <c r="BW67" s="20">
        <f>BU67</f>
        <v>20000</v>
      </c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>
        <v>0</v>
      </c>
      <c r="CM67" s="9" t="s">
        <v>168</v>
      </c>
    </row>
    <row r="68" spans="1:91" ht="15.6" x14ac:dyDescent="0.3">
      <c r="A68" s="5" t="s">
        <v>172</v>
      </c>
      <c r="B68" s="16" t="s">
        <v>109</v>
      </c>
      <c r="C68" s="16">
        <v>10000</v>
      </c>
      <c r="D68" s="21">
        <v>11000</v>
      </c>
      <c r="E68" s="22">
        <f>D68*[1]Rentabiliteit!$V$74</f>
        <v>11000</v>
      </c>
      <c r="F68" s="21">
        <v>11000</v>
      </c>
      <c r="G68" s="17">
        <v>98.7</v>
      </c>
      <c r="H68" s="17">
        <v>98.1</v>
      </c>
      <c r="I68" s="23"/>
      <c r="J68" s="16">
        <v>2</v>
      </c>
      <c r="K68" s="5" t="s">
        <v>113</v>
      </c>
      <c r="L68" s="16">
        <v>1</v>
      </c>
      <c r="M68" s="16">
        <v>1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>
        <v>180</v>
      </c>
      <c r="AC68" s="16">
        <v>160</v>
      </c>
      <c r="AD68" s="16">
        <v>850</v>
      </c>
      <c r="AE68" s="16">
        <v>1000</v>
      </c>
      <c r="AF68" s="5">
        <f t="shared" si="11"/>
        <v>0</v>
      </c>
      <c r="AG68" s="16">
        <v>11</v>
      </c>
      <c r="AH68" s="16">
        <v>11</v>
      </c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5">
        <f t="shared" si="5"/>
        <v>0</v>
      </c>
      <c r="AX68" s="16">
        <v>17.2</v>
      </c>
      <c r="AY68" s="16">
        <v>17.2</v>
      </c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8" t="s">
        <v>96</v>
      </c>
      <c r="BO68" s="17">
        <v>15.9</v>
      </c>
      <c r="BP68" s="16" t="s">
        <v>97</v>
      </c>
      <c r="BQ68" s="19">
        <v>43971</v>
      </c>
      <c r="BR68" s="16"/>
      <c r="BS68" s="15">
        <f t="shared" si="14"/>
        <v>11144.883485309017</v>
      </c>
      <c r="BT68" s="17">
        <f t="shared" si="18"/>
        <v>15.877132402714709</v>
      </c>
      <c r="BU68" s="15">
        <f>200%*C68</f>
        <v>20000</v>
      </c>
      <c r="BV68" s="20">
        <f t="shared" si="9"/>
        <v>20000</v>
      </c>
      <c r="BW68" s="20">
        <f t="shared" si="10"/>
        <v>20000</v>
      </c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>
        <v>0</v>
      </c>
      <c r="CM68" s="9" t="s">
        <v>168</v>
      </c>
    </row>
    <row r="69" spans="1:91" x14ac:dyDescent="0.3">
      <c r="A69" s="16" t="s">
        <v>173</v>
      </c>
      <c r="B69" s="5" t="s">
        <v>109</v>
      </c>
      <c r="C69" s="16">
        <v>12000</v>
      </c>
      <c r="D69" s="16">
        <v>13200</v>
      </c>
      <c r="E69" s="5">
        <f>D69*[1]Rentabiliteit!$V$74</f>
        <v>13200</v>
      </c>
      <c r="F69" s="16">
        <v>13200</v>
      </c>
      <c r="G69" s="17">
        <v>98.7</v>
      </c>
      <c r="H69" s="17">
        <v>98.1</v>
      </c>
      <c r="I69" s="17">
        <v>98.5</v>
      </c>
      <c r="J69" s="16">
        <v>2</v>
      </c>
      <c r="K69" s="5" t="s">
        <v>113</v>
      </c>
      <c r="L69" s="15">
        <v>2</v>
      </c>
      <c r="M69" s="15">
        <v>2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>
        <v>180</v>
      </c>
      <c r="AC69" s="16">
        <v>160</v>
      </c>
      <c r="AD69" s="16">
        <v>850</v>
      </c>
      <c r="AE69" s="16">
        <v>1000</v>
      </c>
      <c r="AF69" s="5">
        <f t="shared" si="11"/>
        <v>0</v>
      </c>
      <c r="AG69" s="16">
        <v>22</v>
      </c>
      <c r="AH69" s="16">
        <v>22</v>
      </c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5">
        <f t="shared" si="5"/>
        <v>0</v>
      </c>
      <c r="AX69" s="16">
        <v>34.299999999999997</v>
      </c>
      <c r="AY69" s="16">
        <v>34.299999999999997</v>
      </c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7" t="s">
        <v>96</v>
      </c>
      <c r="BO69" s="17">
        <v>19.100000000000001</v>
      </c>
      <c r="BP69" s="16" t="s">
        <v>174</v>
      </c>
      <c r="BQ69" s="19">
        <v>43699</v>
      </c>
      <c r="BR69" s="16"/>
      <c r="BS69" s="15">
        <f t="shared" si="14"/>
        <v>13401.015228426397</v>
      </c>
      <c r="BT69" s="6">
        <f t="shared" si="18"/>
        <v>19.05255888325765</v>
      </c>
      <c r="BU69" s="15">
        <f t="shared" ref="BU69:BU72" si="20">200%*C69</f>
        <v>24000</v>
      </c>
      <c r="BV69" s="10">
        <f t="shared" si="9"/>
        <v>24000</v>
      </c>
      <c r="BW69" s="20">
        <f t="shared" si="10"/>
        <v>24000</v>
      </c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9">
        <v>0</v>
      </c>
      <c r="CM69" s="9" t="s">
        <v>165</v>
      </c>
    </row>
    <row r="70" spans="1:91" x14ac:dyDescent="0.3">
      <c r="A70" s="16" t="s">
        <v>175</v>
      </c>
      <c r="B70" s="5" t="s">
        <v>109</v>
      </c>
      <c r="C70" s="16">
        <v>15000</v>
      </c>
      <c r="D70" s="16">
        <v>16500</v>
      </c>
      <c r="E70" s="5">
        <f>D70*[1]Rentabiliteit!$V$74</f>
        <v>16500</v>
      </c>
      <c r="F70" s="16">
        <v>16500</v>
      </c>
      <c r="G70" s="17">
        <v>98.7</v>
      </c>
      <c r="H70" s="17">
        <v>98.1</v>
      </c>
      <c r="I70" s="17">
        <v>98.5</v>
      </c>
      <c r="J70" s="16">
        <v>2</v>
      </c>
      <c r="K70" s="5" t="s">
        <v>113</v>
      </c>
      <c r="L70" s="15">
        <v>2</v>
      </c>
      <c r="M70" s="15">
        <v>2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>
        <v>180</v>
      </c>
      <c r="AC70" s="16">
        <v>160</v>
      </c>
      <c r="AD70" s="16">
        <v>850</v>
      </c>
      <c r="AE70" s="16">
        <v>1000</v>
      </c>
      <c r="AF70" s="5">
        <f t="shared" si="11"/>
        <v>0</v>
      </c>
      <c r="AG70" s="16">
        <v>22</v>
      </c>
      <c r="AH70" s="16">
        <v>22</v>
      </c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5">
        <f t="shared" si="5"/>
        <v>0</v>
      </c>
      <c r="AX70" s="16">
        <v>34.299999999999997</v>
      </c>
      <c r="AY70" s="16">
        <v>34.299999999999997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7" t="s">
        <v>96</v>
      </c>
      <c r="BO70" s="17">
        <v>23.8</v>
      </c>
      <c r="BP70" s="16" t="s">
        <v>174</v>
      </c>
      <c r="BQ70" s="19">
        <v>43699</v>
      </c>
      <c r="BR70" s="16"/>
      <c r="BS70" s="15">
        <f t="shared" si="14"/>
        <v>16751.269035532994</v>
      </c>
      <c r="BT70" s="6">
        <f t="shared" si="18"/>
        <v>23.815698604072065</v>
      </c>
      <c r="BU70" s="15">
        <f t="shared" si="20"/>
        <v>30000</v>
      </c>
      <c r="BV70" s="10">
        <f>BU70</f>
        <v>30000</v>
      </c>
      <c r="BW70" s="20">
        <f t="shared" si="10"/>
        <v>30000</v>
      </c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9">
        <v>0</v>
      </c>
      <c r="CM70" s="9" t="s">
        <v>165</v>
      </c>
    </row>
    <row r="71" spans="1:91" x14ac:dyDescent="0.3">
      <c r="A71" s="16" t="s">
        <v>176</v>
      </c>
      <c r="B71" s="5" t="s">
        <v>109</v>
      </c>
      <c r="C71" s="16">
        <v>17000</v>
      </c>
      <c r="D71" s="16">
        <v>18700</v>
      </c>
      <c r="E71" s="5">
        <f>D71*[1]Rentabiliteit!$V$74</f>
        <v>18700</v>
      </c>
      <c r="F71" s="16">
        <v>18700</v>
      </c>
      <c r="G71" s="17">
        <v>98.7</v>
      </c>
      <c r="H71" s="17">
        <v>98.1</v>
      </c>
      <c r="I71" s="17">
        <v>98.5</v>
      </c>
      <c r="J71" s="16">
        <v>2</v>
      </c>
      <c r="K71" s="5" t="s">
        <v>113</v>
      </c>
      <c r="L71" s="15">
        <v>2</v>
      </c>
      <c r="M71" s="15">
        <v>2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>
        <v>180</v>
      </c>
      <c r="AC71" s="16">
        <v>160</v>
      </c>
      <c r="AD71" s="16">
        <v>850</v>
      </c>
      <c r="AE71" s="16">
        <v>1000</v>
      </c>
      <c r="AF71" s="5">
        <f t="shared" si="11"/>
        <v>0</v>
      </c>
      <c r="AG71" s="16">
        <v>22</v>
      </c>
      <c r="AH71" s="16">
        <v>22</v>
      </c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5">
        <f t="shared" si="5"/>
        <v>0</v>
      </c>
      <c r="AX71" s="16">
        <v>34.299999999999997</v>
      </c>
      <c r="AY71" s="16">
        <v>34.299999999999997</v>
      </c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7" t="s">
        <v>96</v>
      </c>
      <c r="BO71" s="17">
        <v>27</v>
      </c>
      <c r="BP71" s="16" t="s">
        <v>174</v>
      </c>
      <c r="BQ71" s="19">
        <v>43699</v>
      </c>
      <c r="BR71" s="16"/>
      <c r="BS71" s="15">
        <f t="shared" si="14"/>
        <v>18984.771573604063</v>
      </c>
      <c r="BT71" s="6">
        <f t="shared" si="18"/>
        <v>26.991125084615007</v>
      </c>
      <c r="BU71" s="15">
        <f t="shared" si="20"/>
        <v>34000</v>
      </c>
      <c r="BV71" s="10">
        <f>BU71</f>
        <v>34000</v>
      </c>
      <c r="BW71" s="20">
        <f t="shared" si="10"/>
        <v>34000</v>
      </c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9">
        <v>0</v>
      </c>
      <c r="CM71" s="9" t="s">
        <v>165</v>
      </c>
    </row>
    <row r="72" spans="1:91" x14ac:dyDescent="0.3">
      <c r="A72" s="16" t="s">
        <v>177</v>
      </c>
      <c r="B72" s="5" t="s">
        <v>109</v>
      </c>
      <c r="C72" s="16">
        <v>20000</v>
      </c>
      <c r="D72" s="16">
        <v>22000</v>
      </c>
      <c r="E72" s="5">
        <f>D72*[1]Rentabiliteit!$V$74</f>
        <v>22000</v>
      </c>
      <c r="F72" s="16">
        <v>22000</v>
      </c>
      <c r="G72" s="17">
        <v>98.7</v>
      </c>
      <c r="H72" s="17">
        <v>98.1</v>
      </c>
      <c r="I72" s="17">
        <v>98.5</v>
      </c>
      <c r="J72" s="16">
        <v>2</v>
      </c>
      <c r="K72" s="5" t="s">
        <v>113</v>
      </c>
      <c r="L72" s="15">
        <v>2</v>
      </c>
      <c r="M72" s="15">
        <v>2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>
        <v>180</v>
      </c>
      <c r="AC72" s="16">
        <v>160</v>
      </c>
      <c r="AD72" s="16">
        <v>850</v>
      </c>
      <c r="AE72" s="16">
        <v>1000</v>
      </c>
      <c r="AF72" s="5">
        <f t="shared" si="11"/>
        <v>0</v>
      </c>
      <c r="AG72" s="16">
        <v>22</v>
      </c>
      <c r="AH72" s="16">
        <v>22</v>
      </c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5">
        <f t="shared" si="5"/>
        <v>0</v>
      </c>
      <c r="AX72" s="16">
        <v>34.299999999999997</v>
      </c>
      <c r="AY72" s="16">
        <v>34.299999999999997</v>
      </c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7" t="s">
        <v>96</v>
      </c>
      <c r="BO72" s="17">
        <v>31.8</v>
      </c>
      <c r="BP72" s="16" t="s">
        <v>174</v>
      </c>
      <c r="BQ72" s="19">
        <v>43699</v>
      </c>
      <c r="BR72" s="16"/>
      <c r="BS72" s="15">
        <f t="shared" si="14"/>
        <v>22335.02538071066</v>
      </c>
      <c r="BT72" s="6">
        <f t="shared" si="18"/>
        <v>31.754264805429418</v>
      </c>
      <c r="BU72" s="15">
        <f t="shared" si="20"/>
        <v>40000</v>
      </c>
      <c r="BV72" s="10">
        <f>BU72</f>
        <v>40000</v>
      </c>
      <c r="BW72" s="20">
        <f t="shared" si="10"/>
        <v>40000</v>
      </c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9">
        <v>0</v>
      </c>
      <c r="CM72" s="9" t="s">
        <v>165</v>
      </c>
    </row>
    <row r="73" spans="1:91" x14ac:dyDescent="0.3">
      <c r="A73" s="5" t="s">
        <v>178</v>
      </c>
      <c r="B73" s="5" t="s">
        <v>109</v>
      </c>
      <c r="C73" s="5">
        <v>15000</v>
      </c>
      <c r="D73" s="5">
        <v>16500</v>
      </c>
      <c r="E73" s="5">
        <f>D73*[1]Rentabiliteit!$V$74</f>
        <v>16500</v>
      </c>
      <c r="F73" s="5">
        <v>16500</v>
      </c>
      <c r="G73" s="6">
        <v>98.3</v>
      </c>
      <c r="H73" s="6">
        <v>97.5</v>
      </c>
      <c r="I73" s="13"/>
      <c r="J73" s="5">
        <v>2</v>
      </c>
      <c r="K73" s="5" t="s">
        <v>113</v>
      </c>
      <c r="L73" s="5">
        <v>2</v>
      </c>
      <c r="M73" s="5">
        <v>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330</v>
      </c>
      <c r="AC73" s="5">
        <v>200</v>
      </c>
      <c r="AD73" s="5">
        <v>800</v>
      </c>
      <c r="AE73" s="5">
        <v>1000</v>
      </c>
      <c r="AF73" s="5">
        <f t="shared" si="11"/>
        <v>0</v>
      </c>
      <c r="AG73" s="5">
        <v>18</v>
      </c>
      <c r="AH73" s="5">
        <v>18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f t="shared" si="5"/>
        <v>0</v>
      </c>
      <c r="AX73" s="14">
        <f t="shared" ref="AX73:BA78" si="21">1.56*AG73</f>
        <v>28.080000000000002</v>
      </c>
      <c r="AY73" s="14">
        <f t="shared" si="21"/>
        <v>28.080000000000002</v>
      </c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7" t="s">
        <v>96</v>
      </c>
      <c r="BO73" s="6">
        <v>25.1</v>
      </c>
      <c r="BP73" s="5" t="s">
        <v>97</v>
      </c>
      <c r="BQ73" s="8">
        <v>42586</v>
      </c>
      <c r="BR73" s="5"/>
      <c r="BS73" s="9">
        <f t="shared" si="14"/>
        <v>16785.350966429298</v>
      </c>
      <c r="BT73" s="6">
        <f t="shared" si="18"/>
        <v>23.815698604072065</v>
      </c>
      <c r="BU73" s="10">
        <f>140%*D73</f>
        <v>23100</v>
      </c>
      <c r="BV73" s="10">
        <f>BU73</f>
        <v>23100</v>
      </c>
      <c r="BW73" s="10">
        <f t="shared" si="10"/>
        <v>23100</v>
      </c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>
        <v>0</v>
      </c>
      <c r="CM73" s="9" t="s">
        <v>98</v>
      </c>
    </row>
    <row r="74" spans="1:91" x14ac:dyDescent="0.3">
      <c r="A74" s="5" t="s">
        <v>179</v>
      </c>
      <c r="B74" s="5" t="s">
        <v>109</v>
      </c>
      <c r="C74" s="5">
        <v>20000</v>
      </c>
      <c r="D74" s="5">
        <v>22000</v>
      </c>
      <c r="E74" s="5">
        <f>D74*[1]Rentabiliteit!$V$74</f>
        <v>22000</v>
      </c>
      <c r="F74" s="5">
        <v>22000</v>
      </c>
      <c r="G74" s="6">
        <v>98.3</v>
      </c>
      <c r="H74" s="6">
        <v>97.5</v>
      </c>
      <c r="I74" s="13"/>
      <c r="J74" s="5">
        <v>4</v>
      </c>
      <c r="K74" s="5" t="s">
        <v>113</v>
      </c>
      <c r="L74" s="5">
        <v>2</v>
      </c>
      <c r="M74" s="5">
        <v>2</v>
      </c>
      <c r="N74" s="5">
        <v>2</v>
      </c>
      <c r="O74" s="5">
        <v>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330</v>
      </c>
      <c r="AC74" s="5">
        <v>200</v>
      </c>
      <c r="AD74" s="5">
        <v>800</v>
      </c>
      <c r="AE74" s="5">
        <v>1000</v>
      </c>
      <c r="AF74" s="5">
        <f t="shared" si="11"/>
        <v>0</v>
      </c>
      <c r="AG74" s="5">
        <v>18</v>
      </c>
      <c r="AH74" s="5">
        <v>18</v>
      </c>
      <c r="AI74" s="5">
        <v>18</v>
      </c>
      <c r="AJ74" s="5">
        <v>18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f t="shared" si="5"/>
        <v>0</v>
      </c>
      <c r="AX74" s="14">
        <f t="shared" si="21"/>
        <v>28.080000000000002</v>
      </c>
      <c r="AY74" s="14">
        <f t="shared" si="21"/>
        <v>28.080000000000002</v>
      </c>
      <c r="AZ74" s="14">
        <f t="shared" si="21"/>
        <v>28.080000000000002</v>
      </c>
      <c r="BA74" s="14">
        <f t="shared" si="21"/>
        <v>28.080000000000002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7" t="s">
        <v>96</v>
      </c>
      <c r="BO74" s="6">
        <v>30.4</v>
      </c>
      <c r="BP74" s="5" t="s">
        <v>97</v>
      </c>
      <c r="BQ74" s="8">
        <v>42586</v>
      </c>
      <c r="BR74" s="5"/>
      <c r="BS74" s="9">
        <f t="shared" si="14"/>
        <v>22380.467955239066</v>
      </c>
      <c r="BT74" s="6">
        <f t="shared" si="18"/>
        <v>31.754264805429418</v>
      </c>
      <c r="BU74" s="9">
        <f t="shared" ref="BU74:BU80" si="22">150%*D74</f>
        <v>33000</v>
      </c>
      <c r="BV74" s="10">
        <f t="shared" si="9"/>
        <v>33000</v>
      </c>
      <c r="BW74" s="10">
        <f t="shared" si="10"/>
        <v>33000</v>
      </c>
      <c r="BX74" s="10">
        <f>BW74</f>
        <v>33000</v>
      </c>
      <c r="BY74" s="10">
        <f>BW74</f>
        <v>33000</v>
      </c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>
        <v>0</v>
      </c>
      <c r="CM74" s="9" t="s">
        <v>98</v>
      </c>
    </row>
    <row r="75" spans="1:91" x14ac:dyDescent="0.3">
      <c r="A75" s="5" t="s">
        <v>180</v>
      </c>
      <c r="B75" s="5" t="s">
        <v>109</v>
      </c>
      <c r="C75" s="5">
        <v>25000</v>
      </c>
      <c r="D75" s="5">
        <v>27500</v>
      </c>
      <c r="E75" s="5">
        <f>D75*[1]Rentabiliteit!$V$74</f>
        <v>27500</v>
      </c>
      <c r="F75" s="5">
        <v>27500</v>
      </c>
      <c r="G75" s="6">
        <v>98.3</v>
      </c>
      <c r="H75" s="6">
        <v>97.5</v>
      </c>
      <c r="I75" s="13"/>
      <c r="J75" s="5">
        <v>4</v>
      </c>
      <c r="K75" s="5" t="s">
        <v>113</v>
      </c>
      <c r="L75" s="5">
        <v>2</v>
      </c>
      <c r="M75" s="5">
        <v>2</v>
      </c>
      <c r="N75" s="5">
        <v>2</v>
      </c>
      <c r="O75" s="5">
        <v>2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330</v>
      </c>
      <c r="AC75" s="5">
        <v>300</v>
      </c>
      <c r="AD75" s="5">
        <v>800</v>
      </c>
      <c r="AE75" s="5">
        <v>1000</v>
      </c>
      <c r="AF75" s="5">
        <f t="shared" si="11"/>
        <v>0</v>
      </c>
      <c r="AG75" s="5">
        <v>18</v>
      </c>
      <c r="AH75" s="5">
        <v>18</v>
      </c>
      <c r="AI75" s="5">
        <v>18</v>
      </c>
      <c r="AJ75" s="5">
        <v>18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>
        <f t="shared" si="5"/>
        <v>0</v>
      </c>
      <c r="AX75" s="14">
        <f t="shared" si="21"/>
        <v>28.080000000000002</v>
      </c>
      <c r="AY75" s="14">
        <f t="shared" si="21"/>
        <v>28.080000000000002</v>
      </c>
      <c r="AZ75" s="14">
        <f t="shared" si="21"/>
        <v>28.080000000000002</v>
      </c>
      <c r="BA75" s="14">
        <f t="shared" si="21"/>
        <v>28.080000000000002</v>
      </c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7" t="s">
        <v>96</v>
      </c>
      <c r="BO75" s="6">
        <v>40</v>
      </c>
      <c r="BP75" s="5" t="s">
        <v>97</v>
      </c>
      <c r="BQ75" s="8">
        <v>42586</v>
      </c>
      <c r="BR75" s="5"/>
      <c r="BS75" s="9">
        <f t="shared" si="14"/>
        <v>27975.584944048831</v>
      </c>
      <c r="BT75" s="6">
        <f t="shared" si="18"/>
        <v>39.692831006786776</v>
      </c>
      <c r="BU75" s="9">
        <f t="shared" si="22"/>
        <v>41250</v>
      </c>
      <c r="BV75" s="10">
        <f t="shared" si="9"/>
        <v>41250</v>
      </c>
      <c r="BW75" s="10">
        <f t="shared" si="10"/>
        <v>41250</v>
      </c>
      <c r="BX75" s="10">
        <f>BW75</f>
        <v>41250</v>
      </c>
      <c r="BY75" s="10">
        <f>BW75</f>
        <v>41250</v>
      </c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>
        <v>0</v>
      </c>
      <c r="CM75" s="9" t="s">
        <v>98</v>
      </c>
    </row>
    <row r="76" spans="1:91" x14ac:dyDescent="0.3">
      <c r="A76" s="5" t="s">
        <v>181</v>
      </c>
      <c r="B76" s="5" t="s">
        <v>109</v>
      </c>
      <c r="C76" s="5">
        <v>30000</v>
      </c>
      <c r="D76" s="5">
        <v>33000</v>
      </c>
      <c r="E76" s="5">
        <f>D76*[1]Rentabiliteit!$V$74</f>
        <v>33000</v>
      </c>
      <c r="F76" s="5">
        <v>33000</v>
      </c>
      <c r="G76" s="6">
        <v>98.3</v>
      </c>
      <c r="H76" s="6">
        <v>97.5</v>
      </c>
      <c r="I76" s="13"/>
      <c r="J76" s="5">
        <v>4</v>
      </c>
      <c r="K76" s="5" t="s">
        <v>113</v>
      </c>
      <c r="L76" s="5">
        <v>2</v>
      </c>
      <c r="M76" s="5">
        <v>2</v>
      </c>
      <c r="N76" s="5">
        <v>2</v>
      </c>
      <c r="O76" s="5">
        <v>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330</v>
      </c>
      <c r="AC76" s="5">
        <v>300</v>
      </c>
      <c r="AD76" s="5">
        <v>800</v>
      </c>
      <c r="AE76" s="5">
        <v>1000</v>
      </c>
      <c r="AF76" s="5">
        <f t="shared" si="11"/>
        <v>0</v>
      </c>
      <c r="AG76" s="5">
        <v>18</v>
      </c>
      <c r="AH76" s="5">
        <v>18</v>
      </c>
      <c r="AI76" s="5">
        <v>18</v>
      </c>
      <c r="AJ76" s="5">
        <v>18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f t="shared" si="5"/>
        <v>0</v>
      </c>
      <c r="AX76" s="14">
        <f t="shared" si="21"/>
        <v>28.080000000000002</v>
      </c>
      <c r="AY76" s="14">
        <f t="shared" si="21"/>
        <v>28.080000000000002</v>
      </c>
      <c r="AZ76" s="14">
        <f t="shared" si="21"/>
        <v>28.080000000000002</v>
      </c>
      <c r="BA76" s="14">
        <f t="shared" si="21"/>
        <v>28.080000000000002</v>
      </c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7" t="s">
        <v>96</v>
      </c>
      <c r="BO76" s="6">
        <v>45.6</v>
      </c>
      <c r="BP76" s="5" t="s">
        <v>97</v>
      </c>
      <c r="BQ76" s="8">
        <v>42586</v>
      </c>
      <c r="BR76" s="5"/>
      <c r="BS76" s="9">
        <f t="shared" si="14"/>
        <v>33570.701932858596</v>
      </c>
      <c r="BT76" s="6">
        <f t="shared" si="18"/>
        <v>47.631397208144129</v>
      </c>
      <c r="BU76" s="9">
        <f t="shared" si="22"/>
        <v>49500</v>
      </c>
      <c r="BV76" s="10">
        <f t="shared" si="9"/>
        <v>49500</v>
      </c>
      <c r="BW76" s="10">
        <f t="shared" si="10"/>
        <v>49500</v>
      </c>
      <c r="BX76" s="10">
        <f>BW76</f>
        <v>49500</v>
      </c>
      <c r="BY76" s="10">
        <f>BW76</f>
        <v>49500</v>
      </c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>
        <v>0</v>
      </c>
      <c r="CM76" s="9" t="s">
        <v>98</v>
      </c>
    </row>
    <row r="77" spans="1:91" ht="15.6" x14ac:dyDescent="0.3">
      <c r="A77" s="5" t="s">
        <v>182</v>
      </c>
      <c r="B77" s="22" t="s">
        <v>183</v>
      </c>
      <c r="C77" s="5">
        <v>36000</v>
      </c>
      <c r="D77" s="5">
        <v>39600</v>
      </c>
      <c r="E77" s="5">
        <f>D77*[1]Rentabiliteit!$V$74</f>
        <v>39600</v>
      </c>
      <c r="F77" s="5">
        <v>39600</v>
      </c>
      <c r="G77" s="6">
        <v>98.3</v>
      </c>
      <c r="H77" s="6">
        <v>97.5</v>
      </c>
      <c r="I77" s="13"/>
      <c r="J77" s="5">
        <v>4</v>
      </c>
      <c r="K77" s="5" t="s">
        <v>113</v>
      </c>
      <c r="L77" s="5">
        <v>2</v>
      </c>
      <c r="M77" s="5">
        <v>2</v>
      </c>
      <c r="N77" s="5">
        <v>2</v>
      </c>
      <c r="O77" s="5">
        <v>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330</v>
      </c>
      <c r="AC77" s="5">
        <v>300</v>
      </c>
      <c r="AD77" s="5">
        <v>800</v>
      </c>
      <c r="AE77" s="5">
        <v>1000</v>
      </c>
      <c r="AF77" s="5">
        <f t="shared" si="11"/>
        <v>0</v>
      </c>
      <c r="AG77" s="5">
        <v>18</v>
      </c>
      <c r="AH77" s="5">
        <v>18</v>
      </c>
      <c r="AI77" s="5">
        <v>18</v>
      </c>
      <c r="AJ77" s="5">
        <v>18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f t="shared" si="5"/>
        <v>0</v>
      </c>
      <c r="AX77" s="14">
        <f t="shared" si="21"/>
        <v>28.080000000000002</v>
      </c>
      <c r="AY77" s="14">
        <f t="shared" si="21"/>
        <v>28.080000000000002</v>
      </c>
      <c r="AZ77" s="14">
        <f t="shared" si="21"/>
        <v>28.080000000000002</v>
      </c>
      <c r="BA77" s="14">
        <f t="shared" si="21"/>
        <v>28.080000000000002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7" t="s">
        <v>96</v>
      </c>
      <c r="BO77" s="6">
        <v>43.3</v>
      </c>
      <c r="BP77" s="5" t="s">
        <v>97</v>
      </c>
      <c r="BQ77" s="8">
        <v>42586</v>
      </c>
      <c r="BR77" s="5"/>
      <c r="BS77" s="9">
        <f t="shared" si="14"/>
        <v>40284.842319430318</v>
      </c>
      <c r="BT77" s="6">
        <f>F77/480/SQRT(3)</f>
        <v>47.631397208144129</v>
      </c>
      <c r="BU77" s="9">
        <f t="shared" si="22"/>
        <v>59400</v>
      </c>
      <c r="BV77" s="10">
        <f t="shared" si="9"/>
        <v>59400</v>
      </c>
      <c r="BW77" s="10">
        <f t="shared" si="10"/>
        <v>59400</v>
      </c>
      <c r="BX77" s="10">
        <f>BW77</f>
        <v>59400</v>
      </c>
      <c r="BY77" s="10">
        <f>BW77</f>
        <v>59400</v>
      </c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>
        <v>0</v>
      </c>
      <c r="CM77" s="9" t="s">
        <v>98</v>
      </c>
    </row>
    <row r="78" spans="1:91" ht="15.6" x14ac:dyDescent="0.3">
      <c r="A78" s="5" t="s">
        <v>184</v>
      </c>
      <c r="B78" s="22" t="s">
        <v>183</v>
      </c>
      <c r="C78" s="5">
        <v>40000</v>
      </c>
      <c r="D78" s="14">
        <v>44000</v>
      </c>
      <c r="E78" s="5">
        <f>D78*[1]Rentabiliteit!$V$74</f>
        <v>44000</v>
      </c>
      <c r="F78" s="14">
        <v>44000</v>
      </c>
      <c r="G78" s="6">
        <v>98.6</v>
      </c>
      <c r="H78" s="6">
        <v>98.3</v>
      </c>
      <c r="I78" s="13"/>
      <c r="J78" s="5">
        <v>4</v>
      </c>
      <c r="K78" s="5" t="s">
        <v>113</v>
      </c>
      <c r="L78" s="5">
        <v>2</v>
      </c>
      <c r="M78" s="5">
        <v>2</v>
      </c>
      <c r="N78" s="5">
        <v>2</v>
      </c>
      <c r="O78" s="5">
        <v>2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350</v>
      </c>
      <c r="AC78" s="5">
        <v>200</v>
      </c>
      <c r="AD78" s="5">
        <v>850</v>
      </c>
      <c r="AE78" s="5">
        <v>1000</v>
      </c>
      <c r="AF78" s="5">
        <f t="shared" si="11"/>
        <v>0</v>
      </c>
      <c r="AG78" s="5">
        <v>18</v>
      </c>
      <c r="AH78" s="5">
        <v>18</v>
      </c>
      <c r="AI78" s="5">
        <v>18</v>
      </c>
      <c r="AJ78" s="5">
        <v>18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f t="shared" si="5"/>
        <v>0</v>
      </c>
      <c r="AX78" s="14">
        <f t="shared" si="21"/>
        <v>28.080000000000002</v>
      </c>
      <c r="AY78" s="14">
        <f t="shared" si="21"/>
        <v>28.080000000000002</v>
      </c>
      <c r="AZ78" s="14">
        <f t="shared" si="21"/>
        <v>28.080000000000002</v>
      </c>
      <c r="BA78" s="14">
        <f t="shared" si="21"/>
        <v>28.080000000000002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7" t="s">
        <v>96</v>
      </c>
      <c r="BO78" s="6">
        <v>48.1</v>
      </c>
      <c r="BP78" s="5" t="s">
        <v>97</v>
      </c>
      <c r="BQ78" s="8">
        <v>42586</v>
      </c>
      <c r="BR78" s="5"/>
      <c r="BS78" s="9">
        <f t="shared" si="14"/>
        <v>44624.746450304257</v>
      </c>
      <c r="BT78" s="6">
        <f>F78/480/SQRT(3)</f>
        <v>52.923774675715698</v>
      </c>
      <c r="BU78" s="9">
        <f t="shared" si="22"/>
        <v>66000</v>
      </c>
      <c r="BV78" s="10">
        <f t="shared" si="9"/>
        <v>66000</v>
      </c>
      <c r="BW78" s="10">
        <f t="shared" si="10"/>
        <v>66000</v>
      </c>
      <c r="BX78" s="10">
        <f>BW78</f>
        <v>66000</v>
      </c>
      <c r="BY78" s="10">
        <f>BW78</f>
        <v>66000</v>
      </c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>
        <v>0</v>
      </c>
      <c r="CM78" s="9" t="s">
        <v>98</v>
      </c>
    </row>
    <row r="79" spans="1:91" x14ac:dyDescent="0.3">
      <c r="A79" s="16" t="s">
        <v>185</v>
      </c>
      <c r="B79" s="15" t="s">
        <v>109</v>
      </c>
      <c r="C79" s="15">
        <v>40000</v>
      </c>
      <c r="D79" s="15">
        <v>44000</v>
      </c>
      <c r="E79" s="15">
        <f>D79*[1]Rentabiliteit!$V$74</f>
        <v>44000</v>
      </c>
      <c r="F79" s="15">
        <v>44000</v>
      </c>
      <c r="G79" s="17">
        <v>98.8</v>
      </c>
      <c r="H79" s="17">
        <v>98.4</v>
      </c>
      <c r="I79" s="13"/>
      <c r="J79" s="15">
        <v>4</v>
      </c>
      <c r="K79" s="5" t="s">
        <v>113</v>
      </c>
      <c r="L79" s="15">
        <v>2</v>
      </c>
      <c r="M79" s="15">
        <v>2</v>
      </c>
      <c r="N79" s="15">
        <v>2</v>
      </c>
      <c r="O79" s="15">
        <v>2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>
        <v>200</v>
      </c>
      <c r="AC79" s="15">
        <v>200</v>
      </c>
      <c r="AD79" s="20">
        <v>800</v>
      </c>
      <c r="AE79" s="15">
        <v>1100</v>
      </c>
      <c r="AF79" s="5">
        <f t="shared" si="11"/>
        <v>0</v>
      </c>
      <c r="AG79" s="15">
        <v>22</v>
      </c>
      <c r="AH79" s="15">
        <v>22</v>
      </c>
      <c r="AI79" s="15">
        <v>22</v>
      </c>
      <c r="AJ79" s="15">
        <v>22</v>
      </c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5">
        <f t="shared" si="5"/>
        <v>0</v>
      </c>
      <c r="AX79" s="16">
        <v>34.299999999999997</v>
      </c>
      <c r="AY79" s="16">
        <v>34.299999999999997</v>
      </c>
      <c r="AZ79" s="16">
        <v>34.299999999999997</v>
      </c>
      <c r="BA79" s="16">
        <v>34.299999999999997</v>
      </c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24" t="s">
        <v>96</v>
      </c>
      <c r="BO79" s="17">
        <v>66.900000000000006</v>
      </c>
      <c r="BP79" s="15" t="s">
        <v>174</v>
      </c>
      <c r="BQ79" s="19">
        <v>43817</v>
      </c>
      <c r="BR79" s="15"/>
      <c r="BS79" s="15">
        <f t="shared" si="14"/>
        <v>44534.412955465588</v>
      </c>
      <c r="BT79" s="15">
        <f>F79/400/SQRT(3)</f>
        <v>63.508529610858837</v>
      </c>
      <c r="BU79" s="9">
        <f t="shared" si="22"/>
        <v>66000</v>
      </c>
      <c r="BV79" s="20">
        <f t="shared" si="9"/>
        <v>66000</v>
      </c>
      <c r="BW79" s="20">
        <f t="shared" si="10"/>
        <v>66000</v>
      </c>
      <c r="BX79" s="20">
        <f t="shared" si="10"/>
        <v>66000</v>
      </c>
      <c r="BY79" s="20">
        <v>48000</v>
      </c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9" t="s">
        <v>98</v>
      </c>
    </row>
    <row r="80" spans="1:91" x14ac:dyDescent="0.3">
      <c r="A80" s="16" t="s">
        <v>186</v>
      </c>
      <c r="B80" s="15" t="s">
        <v>109</v>
      </c>
      <c r="C80" s="15">
        <v>50000</v>
      </c>
      <c r="D80" s="15">
        <v>55000</v>
      </c>
      <c r="E80" s="15">
        <v>55000</v>
      </c>
      <c r="F80" s="15">
        <v>55000</v>
      </c>
      <c r="G80" s="17">
        <v>98.8</v>
      </c>
      <c r="H80" s="17">
        <v>98.4</v>
      </c>
      <c r="I80" s="13"/>
      <c r="J80" s="15">
        <v>4</v>
      </c>
      <c r="K80" s="5" t="s">
        <v>113</v>
      </c>
      <c r="L80" s="15">
        <v>3</v>
      </c>
      <c r="M80" s="15">
        <v>3</v>
      </c>
      <c r="N80" s="15">
        <v>3</v>
      </c>
      <c r="O80" s="15">
        <v>3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>
        <v>200</v>
      </c>
      <c r="AC80" s="15">
        <v>200</v>
      </c>
      <c r="AD80" s="20">
        <v>800</v>
      </c>
      <c r="AE80" s="15">
        <v>1100</v>
      </c>
      <c r="AF80" s="5">
        <f t="shared" si="11"/>
        <v>0</v>
      </c>
      <c r="AG80" s="17">
        <v>28.5</v>
      </c>
      <c r="AH80" s="17">
        <v>28.5</v>
      </c>
      <c r="AI80" s="17">
        <v>28.5</v>
      </c>
      <c r="AJ80" s="17">
        <v>28.5</v>
      </c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5">
        <f t="shared" si="5"/>
        <v>0</v>
      </c>
      <c r="AX80" s="16">
        <f>1.56*AG80</f>
        <v>44.46</v>
      </c>
      <c r="AY80" s="16">
        <f>1.56*AH80</f>
        <v>44.46</v>
      </c>
      <c r="AZ80" s="16">
        <f>1.56*AI80</f>
        <v>44.46</v>
      </c>
      <c r="BA80" s="16">
        <f>1.56*AJ80</f>
        <v>44.46</v>
      </c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24" t="s">
        <v>96</v>
      </c>
      <c r="BO80" s="17">
        <v>83.3</v>
      </c>
      <c r="BP80" s="15" t="s">
        <v>174</v>
      </c>
      <c r="BQ80" s="19">
        <v>43817</v>
      </c>
      <c r="BR80" s="15"/>
      <c r="BS80" s="15">
        <f t="shared" si="14"/>
        <v>55668.016194331984</v>
      </c>
      <c r="BT80" s="15">
        <f>F80/400/SQRT(3)</f>
        <v>79.385662013573551</v>
      </c>
      <c r="BU80" s="9">
        <f t="shared" si="22"/>
        <v>82500</v>
      </c>
      <c r="BV80" s="20">
        <f t="shared" si="9"/>
        <v>82500</v>
      </c>
      <c r="BW80" s="20">
        <f t="shared" si="10"/>
        <v>82500</v>
      </c>
      <c r="BX80" s="20">
        <f t="shared" si="10"/>
        <v>82500</v>
      </c>
      <c r="BY80" s="20">
        <v>66000</v>
      </c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9" t="s">
        <v>98</v>
      </c>
    </row>
    <row r="81" spans="1:91" x14ac:dyDescent="0.3">
      <c r="A81" s="15" t="s">
        <v>187</v>
      </c>
      <c r="B81" s="15" t="s">
        <v>109</v>
      </c>
      <c r="C81" s="15">
        <v>25000</v>
      </c>
      <c r="D81" s="15">
        <v>27500</v>
      </c>
      <c r="E81" s="15">
        <f>D81*[1]Rentabiliteit!$V$74</f>
        <v>27500</v>
      </c>
      <c r="F81" s="15">
        <v>27500</v>
      </c>
      <c r="G81" s="17">
        <v>98.8</v>
      </c>
      <c r="H81" s="17">
        <v>98.3</v>
      </c>
      <c r="I81" s="17">
        <v>98</v>
      </c>
      <c r="J81" s="15">
        <v>3</v>
      </c>
      <c r="K81" s="5" t="s">
        <v>113</v>
      </c>
      <c r="L81" s="15">
        <v>2</v>
      </c>
      <c r="M81" s="15">
        <v>2</v>
      </c>
      <c r="N81" s="15">
        <v>2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>
        <v>180</v>
      </c>
      <c r="AC81" s="15">
        <v>200</v>
      </c>
      <c r="AD81" s="15">
        <v>800</v>
      </c>
      <c r="AE81" s="15">
        <v>1100</v>
      </c>
      <c r="AF81" s="5">
        <f t="shared" si="11"/>
        <v>0</v>
      </c>
      <c r="AG81" s="15">
        <v>26</v>
      </c>
      <c r="AH81" s="15">
        <v>26</v>
      </c>
      <c r="AI81" s="15">
        <v>26</v>
      </c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5">
        <f t="shared" si="5"/>
        <v>0</v>
      </c>
      <c r="AX81" s="15">
        <v>40</v>
      </c>
      <c r="AY81" s="15">
        <v>40</v>
      </c>
      <c r="AZ81" s="15">
        <v>40</v>
      </c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24" t="s">
        <v>96</v>
      </c>
      <c r="BO81" s="17">
        <v>41.8</v>
      </c>
      <c r="BP81" s="15" t="s">
        <v>174</v>
      </c>
      <c r="BQ81" s="19">
        <v>43607</v>
      </c>
      <c r="BR81" s="15"/>
      <c r="BS81" s="15">
        <f t="shared" si="14"/>
        <v>28061.224489795917</v>
      </c>
      <c r="BT81" s="15">
        <f t="shared" ref="BT81:BT87" si="23">F81/400/SQRT(3)</f>
        <v>39.692831006786776</v>
      </c>
      <c r="BU81" s="9">
        <f t="shared" ref="BU81:BU89" si="24">150%*C81</f>
        <v>37500</v>
      </c>
      <c r="BV81" s="20">
        <f t="shared" si="9"/>
        <v>37500</v>
      </c>
      <c r="BW81" s="20">
        <f t="shared" si="10"/>
        <v>37500</v>
      </c>
      <c r="BX81" s="20">
        <f t="shared" si="10"/>
        <v>37500</v>
      </c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>
        <v>0</v>
      </c>
      <c r="CM81" s="9" t="s">
        <v>134</v>
      </c>
    </row>
    <row r="82" spans="1:91" x14ac:dyDescent="0.3">
      <c r="A82" s="15" t="s">
        <v>188</v>
      </c>
      <c r="B82" s="15" t="s">
        <v>109</v>
      </c>
      <c r="C82" s="15">
        <v>30000</v>
      </c>
      <c r="D82" s="15">
        <v>33000</v>
      </c>
      <c r="E82" s="15">
        <f>D82*[1]Rentabiliteit!$V$74</f>
        <v>33000</v>
      </c>
      <c r="F82" s="15">
        <v>33000</v>
      </c>
      <c r="G82" s="17">
        <v>98.8</v>
      </c>
      <c r="H82" s="17">
        <v>98.3</v>
      </c>
      <c r="I82" s="17">
        <v>98</v>
      </c>
      <c r="J82" s="15">
        <v>3</v>
      </c>
      <c r="K82" s="5" t="s">
        <v>113</v>
      </c>
      <c r="L82" s="15">
        <v>2</v>
      </c>
      <c r="M82" s="15">
        <v>2</v>
      </c>
      <c r="N82" s="15">
        <v>2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>
        <v>180</v>
      </c>
      <c r="AC82" s="15">
        <v>200</v>
      </c>
      <c r="AD82" s="15">
        <v>800</v>
      </c>
      <c r="AE82" s="15">
        <v>1100</v>
      </c>
      <c r="AF82" s="5">
        <f t="shared" si="11"/>
        <v>0</v>
      </c>
      <c r="AG82" s="15">
        <v>26</v>
      </c>
      <c r="AH82" s="15">
        <v>26</v>
      </c>
      <c r="AI82" s="15">
        <v>26</v>
      </c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5">
        <f t="shared" si="5"/>
        <v>0</v>
      </c>
      <c r="AX82" s="15">
        <v>40</v>
      </c>
      <c r="AY82" s="15">
        <v>40</v>
      </c>
      <c r="AZ82" s="15">
        <v>40</v>
      </c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24" t="s">
        <v>96</v>
      </c>
      <c r="BO82" s="17">
        <v>50.2</v>
      </c>
      <c r="BP82" s="15" t="s">
        <v>174</v>
      </c>
      <c r="BQ82" s="19">
        <v>43607</v>
      </c>
      <c r="BR82" s="15"/>
      <c r="BS82" s="15">
        <f t="shared" si="14"/>
        <v>33673.469387755104</v>
      </c>
      <c r="BT82" s="15">
        <f t="shared" si="23"/>
        <v>47.631397208144129</v>
      </c>
      <c r="BU82" s="9">
        <f t="shared" si="24"/>
        <v>45000</v>
      </c>
      <c r="BV82" s="20">
        <f t="shared" si="9"/>
        <v>45000</v>
      </c>
      <c r="BW82" s="20">
        <f t="shared" si="10"/>
        <v>45000</v>
      </c>
      <c r="BX82" s="20">
        <f t="shared" si="10"/>
        <v>45000</v>
      </c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>
        <v>0</v>
      </c>
      <c r="CM82" s="9" t="s">
        <v>134</v>
      </c>
    </row>
    <row r="83" spans="1:91" x14ac:dyDescent="0.3">
      <c r="A83" s="15" t="s">
        <v>189</v>
      </c>
      <c r="B83" s="15" t="s">
        <v>109</v>
      </c>
      <c r="C83" s="15">
        <v>33000</v>
      </c>
      <c r="D83" s="15">
        <v>36300</v>
      </c>
      <c r="E83" s="15">
        <f>D83*[1]Rentabiliteit!$V$74</f>
        <v>36300</v>
      </c>
      <c r="F83" s="15">
        <v>36300</v>
      </c>
      <c r="G83" s="17">
        <v>98.8</v>
      </c>
      <c r="H83" s="17">
        <v>98.3</v>
      </c>
      <c r="I83" s="17">
        <v>98.1</v>
      </c>
      <c r="J83" s="15">
        <v>3</v>
      </c>
      <c r="K83" s="5" t="s">
        <v>113</v>
      </c>
      <c r="L83" s="15">
        <v>2</v>
      </c>
      <c r="M83" s="15">
        <v>2</v>
      </c>
      <c r="N83" s="15">
        <v>2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>
        <v>180</v>
      </c>
      <c r="AC83" s="15">
        <v>200</v>
      </c>
      <c r="AD83" s="15">
        <v>850</v>
      </c>
      <c r="AE83" s="15">
        <v>1100</v>
      </c>
      <c r="AF83" s="5">
        <f t="shared" si="11"/>
        <v>0</v>
      </c>
      <c r="AG83" s="15">
        <v>26</v>
      </c>
      <c r="AH83" s="15">
        <v>26</v>
      </c>
      <c r="AI83" s="15">
        <v>26</v>
      </c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5">
        <f t="shared" si="5"/>
        <v>0</v>
      </c>
      <c r="AX83" s="15">
        <v>40</v>
      </c>
      <c r="AY83" s="15">
        <v>40</v>
      </c>
      <c r="AZ83" s="15">
        <v>40</v>
      </c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24" t="s">
        <v>96</v>
      </c>
      <c r="BO83" s="17">
        <v>55.1</v>
      </c>
      <c r="BP83" s="15" t="s">
        <v>174</v>
      </c>
      <c r="BQ83" s="19">
        <v>43607</v>
      </c>
      <c r="BR83" s="15"/>
      <c r="BS83" s="15">
        <f t="shared" si="14"/>
        <v>37003.058103975534</v>
      </c>
      <c r="BT83" s="15">
        <f t="shared" si="23"/>
        <v>52.394536928958544</v>
      </c>
      <c r="BU83" s="9">
        <f t="shared" si="24"/>
        <v>49500</v>
      </c>
      <c r="BV83" s="20">
        <f t="shared" si="9"/>
        <v>49500</v>
      </c>
      <c r="BW83" s="20">
        <f t="shared" si="10"/>
        <v>49500</v>
      </c>
      <c r="BX83" s="20">
        <f t="shared" si="10"/>
        <v>49500</v>
      </c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>
        <v>0</v>
      </c>
      <c r="CM83" s="9" t="s">
        <v>134</v>
      </c>
    </row>
    <row r="84" spans="1:91" x14ac:dyDescent="0.3">
      <c r="A84" s="15" t="s">
        <v>190</v>
      </c>
      <c r="B84" s="15" t="s">
        <v>109</v>
      </c>
      <c r="C84" s="15">
        <v>36000</v>
      </c>
      <c r="D84" s="15">
        <v>39600</v>
      </c>
      <c r="E84" s="15">
        <f>D84*[1]Rentabiliteit!$V$74</f>
        <v>39600</v>
      </c>
      <c r="F84" s="15">
        <v>39600</v>
      </c>
      <c r="G84" s="17">
        <v>98.8</v>
      </c>
      <c r="H84" s="17">
        <v>98.3</v>
      </c>
      <c r="I84" s="17">
        <v>98.2</v>
      </c>
      <c r="J84" s="15">
        <v>4</v>
      </c>
      <c r="K84" s="5" t="s">
        <v>113</v>
      </c>
      <c r="L84" s="15">
        <v>2</v>
      </c>
      <c r="M84" s="15">
        <v>2</v>
      </c>
      <c r="N84" s="15">
        <v>2</v>
      </c>
      <c r="O84" s="15">
        <v>2</v>
      </c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>
        <v>180</v>
      </c>
      <c r="AC84" s="15">
        <v>200</v>
      </c>
      <c r="AD84" s="15">
        <v>850</v>
      </c>
      <c r="AE84" s="15">
        <v>1100</v>
      </c>
      <c r="AF84" s="5">
        <f t="shared" si="11"/>
        <v>0</v>
      </c>
      <c r="AG84" s="15">
        <v>26</v>
      </c>
      <c r="AH84" s="15">
        <v>26</v>
      </c>
      <c r="AI84" s="15">
        <v>26</v>
      </c>
      <c r="AJ84" s="15">
        <v>26</v>
      </c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5">
        <f t="shared" si="5"/>
        <v>0</v>
      </c>
      <c r="AX84" s="15">
        <v>40</v>
      </c>
      <c r="AY84" s="15">
        <v>40</v>
      </c>
      <c r="AZ84" s="15">
        <v>40</v>
      </c>
      <c r="BA84" s="15">
        <v>40</v>
      </c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24" t="s">
        <v>96</v>
      </c>
      <c r="BO84" s="17">
        <v>60.2</v>
      </c>
      <c r="BP84" s="15" t="s">
        <v>174</v>
      </c>
      <c r="BQ84" s="19">
        <v>43607</v>
      </c>
      <c r="BR84" s="15"/>
      <c r="BS84" s="15">
        <f t="shared" si="14"/>
        <v>40325.865580448066</v>
      </c>
      <c r="BT84" s="15">
        <f t="shared" si="23"/>
        <v>57.157676649772952</v>
      </c>
      <c r="BU84" s="9">
        <f t="shared" si="24"/>
        <v>54000</v>
      </c>
      <c r="BV84" s="20">
        <f t="shared" si="9"/>
        <v>54000</v>
      </c>
      <c r="BW84" s="20">
        <f t="shared" si="10"/>
        <v>54000</v>
      </c>
      <c r="BX84" s="20">
        <f t="shared" si="10"/>
        <v>54000</v>
      </c>
      <c r="BY84" s="20">
        <f t="shared" si="10"/>
        <v>54000</v>
      </c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>
        <v>0</v>
      </c>
      <c r="CM84" s="9" t="s">
        <v>134</v>
      </c>
    </row>
    <row r="85" spans="1:91" x14ac:dyDescent="0.3">
      <c r="A85" s="15" t="s">
        <v>191</v>
      </c>
      <c r="B85" s="15" t="s">
        <v>109</v>
      </c>
      <c r="C85" s="15">
        <v>40000</v>
      </c>
      <c r="D85" s="15">
        <v>44000</v>
      </c>
      <c r="E85" s="15">
        <f>D85*[1]Rentabiliteit!$V$74</f>
        <v>44000</v>
      </c>
      <c r="F85" s="15">
        <v>44000</v>
      </c>
      <c r="G85" s="17">
        <v>98.8</v>
      </c>
      <c r="H85" s="17">
        <v>98.3</v>
      </c>
      <c r="I85" s="17">
        <v>98.1</v>
      </c>
      <c r="J85" s="15">
        <v>4</v>
      </c>
      <c r="K85" s="5" t="s">
        <v>113</v>
      </c>
      <c r="L85" s="15">
        <v>2</v>
      </c>
      <c r="M85" s="15">
        <v>2</v>
      </c>
      <c r="N85" s="15">
        <v>2</v>
      </c>
      <c r="O85" s="15">
        <v>2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>
        <v>180</v>
      </c>
      <c r="AC85" s="15">
        <v>200</v>
      </c>
      <c r="AD85" s="15">
        <v>850</v>
      </c>
      <c r="AE85" s="15">
        <v>1100</v>
      </c>
      <c r="AF85" s="5">
        <f t="shared" si="11"/>
        <v>0</v>
      </c>
      <c r="AG85" s="15">
        <v>26</v>
      </c>
      <c r="AH85" s="15">
        <v>26</v>
      </c>
      <c r="AI85" s="15">
        <v>26</v>
      </c>
      <c r="AJ85" s="15">
        <v>26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5">
        <f t="shared" si="5"/>
        <v>0</v>
      </c>
      <c r="AX85" s="15">
        <v>40</v>
      </c>
      <c r="AY85" s="15">
        <v>40</v>
      </c>
      <c r="AZ85" s="15">
        <v>40</v>
      </c>
      <c r="BA85" s="15">
        <v>40</v>
      </c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24" t="s">
        <v>96</v>
      </c>
      <c r="BO85" s="17">
        <v>66.900000000000006</v>
      </c>
      <c r="BP85" s="15" t="s">
        <v>174</v>
      </c>
      <c r="BQ85" s="19">
        <v>43607</v>
      </c>
      <c r="BR85" s="15"/>
      <c r="BS85" s="15">
        <f t="shared" si="14"/>
        <v>44852.191641182464</v>
      </c>
      <c r="BT85" s="15">
        <f t="shared" si="23"/>
        <v>63.508529610858837</v>
      </c>
      <c r="BU85" s="9">
        <f t="shared" si="24"/>
        <v>60000</v>
      </c>
      <c r="BV85" s="20">
        <f t="shared" si="9"/>
        <v>60000</v>
      </c>
      <c r="BW85" s="20">
        <f t="shared" si="10"/>
        <v>60000</v>
      </c>
      <c r="BX85" s="20">
        <f t="shared" si="10"/>
        <v>60000</v>
      </c>
      <c r="BY85" s="20">
        <f t="shared" si="10"/>
        <v>60000</v>
      </c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>
        <v>0</v>
      </c>
      <c r="CM85" s="9" t="s">
        <v>134</v>
      </c>
    </row>
    <row r="86" spans="1:91" x14ac:dyDescent="0.3">
      <c r="A86" s="16" t="s">
        <v>192</v>
      </c>
      <c r="B86" s="16" t="s">
        <v>109</v>
      </c>
      <c r="C86" s="16">
        <v>60000</v>
      </c>
      <c r="D86" s="16">
        <v>66000</v>
      </c>
      <c r="E86" s="16">
        <f>D86*[1]Rentabiliteit!$V$74</f>
        <v>66000</v>
      </c>
      <c r="F86" s="16">
        <v>66000</v>
      </c>
      <c r="G86" s="17">
        <v>99</v>
      </c>
      <c r="H86" s="17">
        <v>98.5</v>
      </c>
      <c r="I86" s="17">
        <v>98</v>
      </c>
      <c r="J86" s="16">
        <v>4</v>
      </c>
      <c r="K86" s="5" t="s">
        <v>113</v>
      </c>
      <c r="L86" s="16">
        <v>3</v>
      </c>
      <c r="M86" s="16">
        <v>3</v>
      </c>
      <c r="N86" s="16">
        <v>3</v>
      </c>
      <c r="O86" s="16">
        <v>3</v>
      </c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>
        <v>200</v>
      </c>
      <c r="AC86" s="16">
        <v>200</v>
      </c>
      <c r="AD86" s="15">
        <v>850</v>
      </c>
      <c r="AE86" s="16">
        <v>1100</v>
      </c>
      <c r="AF86" s="5">
        <f t="shared" si="11"/>
        <v>0</v>
      </c>
      <c r="AG86" s="16">
        <v>28.5</v>
      </c>
      <c r="AH86" s="16">
        <v>28.5</v>
      </c>
      <c r="AI86" s="16">
        <v>28.5</v>
      </c>
      <c r="AJ86" s="16">
        <v>28.5</v>
      </c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5">
        <f t="shared" si="5"/>
        <v>0</v>
      </c>
      <c r="AX86" s="16">
        <f>1.56*AG86</f>
        <v>44.46</v>
      </c>
      <c r="AY86" s="16">
        <f>1.56*AH86</f>
        <v>44.46</v>
      </c>
      <c r="AZ86" s="16">
        <f>1.56*AI86</f>
        <v>44.46</v>
      </c>
      <c r="BA86" s="16">
        <f>1.56*AJ86</f>
        <v>44.46</v>
      </c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8" t="s">
        <v>96</v>
      </c>
      <c r="BO86" s="17">
        <v>83.3</v>
      </c>
      <c r="BP86" s="16" t="s">
        <v>174</v>
      </c>
      <c r="BQ86" s="19">
        <v>43705</v>
      </c>
      <c r="BR86" s="16"/>
      <c r="BS86" s="15">
        <f t="shared" si="14"/>
        <v>67346.938775510207</v>
      </c>
      <c r="BT86" s="17">
        <f t="shared" si="23"/>
        <v>95.262794416288259</v>
      </c>
      <c r="BU86" s="9">
        <f t="shared" si="24"/>
        <v>90000</v>
      </c>
      <c r="BV86" s="20">
        <f t="shared" si="9"/>
        <v>90000</v>
      </c>
      <c r="BW86" s="20">
        <f t="shared" si="10"/>
        <v>90000</v>
      </c>
      <c r="BX86" s="20">
        <f>BW86</f>
        <v>90000</v>
      </c>
      <c r="BY86" s="20">
        <f t="shared" si="10"/>
        <v>90000</v>
      </c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>
        <v>0</v>
      </c>
      <c r="CM86" s="9" t="s">
        <v>134</v>
      </c>
    </row>
    <row r="87" spans="1:91" x14ac:dyDescent="0.3">
      <c r="A87" s="15" t="s">
        <v>193</v>
      </c>
      <c r="B87" s="15" t="s">
        <v>109</v>
      </c>
      <c r="C87" s="15">
        <v>80000</v>
      </c>
      <c r="D87" s="15">
        <v>88000</v>
      </c>
      <c r="E87" s="15">
        <f>D87*[1]Rentabiliteit!$V$74</f>
        <v>88000</v>
      </c>
      <c r="F87" s="15">
        <v>88000</v>
      </c>
      <c r="G87" s="17">
        <v>99</v>
      </c>
      <c r="H87" s="17">
        <v>98.4</v>
      </c>
      <c r="I87" s="17">
        <v>98.3</v>
      </c>
      <c r="J87" s="15">
        <v>8</v>
      </c>
      <c r="K87" s="5" t="s">
        <v>113</v>
      </c>
      <c r="L87" s="15">
        <v>2</v>
      </c>
      <c r="M87" s="15">
        <v>2</v>
      </c>
      <c r="N87" s="15">
        <v>2</v>
      </c>
      <c r="O87" s="15">
        <v>2</v>
      </c>
      <c r="P87" s="15">
        <v>2</v>
      </c>
      <c r="Q87" s="15">
        <v>2</v>
      </c>
      <c r="R87" s="15">
        <v>2</v>
      </c>
      <c r="S87" s="15">
        <v>2</v>
      </c>
      <c r="T87" s="15"/>
      <c r="U87" s="15"/>
      <c r="V87" s="15"/>
      <c r="W87" s="15"/>
      <c r="X87" s="15"/>
      <c r="Y87" s="15"/>
      <c r="Z87" s="15"/>
      <c r="AA87" s="15"/>
      <c r="AB87" s="15">
        <v>200</v>
      </c>
      <c r="AC87" s="15">
        <v>180</v>
      </c>
      <c r="AD87" s="20">
        <v>800</v>
      </c>
      <c r="AE87" s="15">
        <v>1100</v>
      </c>
      <c r="AF87" s="5">
        <f t="shared" si="11"/>
        <v>0</v>
      </c>
      <c r="AG87" s="15">
        <v>26</v>
      </c>
      <c r="AH87" s="15">
        <v>26</v>
      </c>
      <c r="AI87" s="15">
        <v>26</v>
      </c>
      <c r="AJ87" s="15">
        <v>26</v>
      </c>
      <c r="AK87" s="15">
        <v>26</v>
      </c>
      <c r="AL87" s="15">
        <v>26</v>
      </c>
      <c r="AM87" s="15">
        <v>26</v>
      </c>
      <c r="AN87" s="15">
        <v>26</v>
      </c>
      <c r="AO87" s="15"/>
      <c r="AP87" s="15"/>
      <c r="AQ87" s="15"/>
      <c r="AR87" s="15"/>
      <c r="AS87" s="15"/>
      <c r="AT87" s="15"/>
      <c r="AU87" s="15"/>
      <c r="AV87" s="15"/>
      <c r="AW87" s="5">
        <f t="shared" si="5"/>
        <v>0</v>
      </c>
      <c r="AX87" s="15">
        <v>40.6</v>
      </c>
      <c r="AY87" s="15">
        <v>40.6</v>
      </c>
      <c r="AZ87" s="15">
        <v>40.6</v>
      </c>
      <c r="BA87" s="15">
        <v>40.6</v>
      </c>
      <c r="BB87" s="15">
        <v>40.6</v>
      </c>
      <c r="BC87" s="15">
        <v>40.6</v>
      </c>
      <c r="BD87" s="15">
        <v>40.6</v>
      </c>
      <c r="BE87" s="15">
        <v>40.6</v>
      </c>
      <c r="BF87" s="15"/>
      <c r="BG87" s="15"/>
      <c r="BH87" s="15"/>
      <c r="BI87" s="15"/>
      <c r="BJ87" s="15"/>
      <c r="BK87" s="15"/>
      <c r="BL87" s="15"/>
      <c r="BM87" s="15"/>
      <c r="BN87" s="24" t="s">
        <v>96</v>
      </c>
      <c r="BO87" s="17">
        <v>133.69999999999999</v>
      </c>
      <c r="BP87" s="15" t="s">
        <v>174</v>
      </c>
      <c r="BQ87" s="19">
        <v>43607</v>
      </c>
      <c r="BR87" s="15"/>
      <c r="BS87" s="15">
        <f t="shared" si="14"/>
        <v>89521.871820956265</v>
      </c>
      <c r="BT87" s="15">
        <f t="shared" si="23"/>
        <v>127.01705922171767</v>
      </c>
      <c r="BU87" s="9">
        <f t="shared" si="24"/>
        <v>120000</v>
      </c>
      <c r="BV87" s="20">
        <f>BU87</f>
        <v>120000</v>
      </c>
      <c r="BW87" s="20">
        <f t="shared" si="10"/>
        <v>120000</v>
      </c>
      <c r="BX87" s="20">
        <f>BW87</f>
        <v>120000</v>
      </c>
      <c r="BY87" s="20">
        <f t="shared" si="10"/>
        <v>120000</v>
      </c>
      <c r="BZ87" s="20">
        <f t="shared" si="10"/>
        <v>120000</v>
      </c>
      <c r="CA87" s="20">
        <f t="shared" si="10"/>
        <v>120000</v>
      </c>
      <c r="CB87" s="20">
        <f t="shared" si="10"/>
        <v>120000</v>
      </c>
      <c r="CC87" s="20">
        <f t="shared" si="10"/>
        <v>120000</v>
      </c>
      <c r="CD87" s="15"/>
      <c r="CE87" s="15"/>
      <c r="CF87" s="15"/>
      <c r="CG87" s="15"/>
      <c r="CH87" s="15"/>
      <c r="CI87" s="15"/>
      <c r="CJ87" s="15"/>
      <c r="CK87" s="15"/>
      <c r="CL87" s="15">
        <v>0</v>
      </c>
      <c r="CM87" s="9" t="s">
        <v>134</v>
      </c>
    </row>
    <row r="88" spans="1:91" ht="15.6" x14ac:dyDescent="0.3">
      <c r="A88" s="15" t="s">
        <v>194</v>
      </c>
      <c r="B88" s="25" t="s">
        <v>195</v>
      </c>
      <c r="C88" s="15">
        <v>110000</v>
      </c>
      <c r="D88" s="15">
        <v>121000</v>
      </c>
      <c r="E88" s="15">
        <f>D88*[1]Rentabiliteit!$V$74</f>
        <v>121000</v>
      </c>
      <c r="F88" s="15">
        <v>121000</v>
      </c>
      <c r="G88" s="17">
        <v>98.8</v>
      </c>
      <c r="H88" s="17">
        <v>98.3</v>
      </c>
      <c r="I88" s="17">
        <v>98.1</v>
      </c>
      <c r="J88" s="15">
        <v>10</v>
      </c>
      <c r="K88" s="5" t="s">
        <v>113</v>
      </c>
      <c r="L88" s="15">
        <v>2</v>
      </c>
      <c r="M88" s="15">
        <v>2</v>
      </c>
      <c r="N88" s="15">
        <v>2</v>
      </c>
      <c r="O88" s="15">
        <v>2</v>
      </c>
      <c r="P88" s="15">
        <v>2</v>
      </c>
      <c r="Q88" s="15">
        <v>2</v>
      </c>
      <c r="R88" s="15">
        <v>2</v>
      </c>
      <c r="S88" s="15">
        <v>2</v>
      </c>
      <c r="T88" s="15">
        <v>2</v>
      </c>
      <c r="U88" s="15">
        <v>2</v>
      </c>
      <c r="V88" s="15"/>
      <c r="W88" s="15"/>
      <c r="X88" s="15"/>
      <c r="Y88" s="15"/>
      <c r="Z88" s="15"/>
      <c r="AA88" s="15"/>
      <c r="AB88" s="15">
        <v>200</v>
      </c>
      <c r="AC88" s="15">
        <v>180</v>
      </c>
      <c r="AD88" s="20">
        <v>800</v>
      </c>
      <c r="AE88" s="15">
        <v>1100</v>
      </c>
      <c r="AF88" s="5">
        <f t="shared" si="11"/>
        <v>0</v>
      </c>
      <c r="AG88" s="15">
        <v>26</v>
      </c>
      <c r="AH88" s="15">
        <v>26</v>
      </c>
      <c r="AI88" s="15">
        <v>26</v>
      </c>
      <c r="AJ88" s="15">
        <v>26</v>
      </c>
      <c r="AK88" s="15">
        <v>26</v>
      </c>
      <c r="AL88" s="15">
        <v>26</v>
      </c>
      <c r="AM88" s="15">
        <v>26</v>
      </c>
      <c r="AN88" s="15">
        <v>26</v>
      </c>
      <c r="AO88" s="15">
        <v>26</v>
      </c>
      <c r="AP88" s="15">
        <v>26</v>
      </c>
      <c r="AQ88" s="15"/>
      <c r="AR88" s="15"/>
      <c r="AS88" s="15"/>
      <c r="AT88" s="15"/>
      <c r="AU88" s="15"/>
      <c r="AV88" s="15"/>
      <c r="AW88" s="5">
        <f t="shared" si="5"/>
        <v>0</v>
      </c>
      <c r="AX88" s="15">
        <v>40.6</v>
      </c>
      <c r="AY88" s="15">
        <v>40.6</v>
      </c>
      <c r="AZ88" s="15">
        <v>40.6</v>
      </c>
      <c r="BA88" s="15">
        <v>40.6</v>
      </c>
      <c r="BB88" s="15">
        <v>40.6</v>
      </c>
      <c r="BC88" s="15">
        <v>40.6</v>
      </c>
      <c r="BD88" s="15">
        <v>40.6</v>
      </c>
      <c r="BE88" s="15">
        <v>40.6</v>
      </c>
      <c r="BF88" s="15">
        <v>40.6</v>
      </c>
      <c r="BG88" s="15">
        <v>40.6</v>
      </c>
      <c r="BH88" s="15"/>
      <c r="BI88" s="15"/>
      <c r="BJ88" s="15"/>
      <c r="BK88" s="15"/>
      <c r="BL88" s="15"/>
      <c r="BM88" s="15"/>
      <c r="BN88" s="24" t="s">
        <v>96</v>
      </c>
      <c r="BO88" s="17">
        <v>129.4</v>
      </c>
      <c r="BP88" s="15" t="s">
        <v>174</v>
      </c>
      <c r="BQ88" s="19">
        <v>43607</v>
      </c>
      <c r="BR88" s="15"/>
      <c r="BS88" s="15">
        <f t="shared" si="14"/>
        <v>123343.52701325179</v>
      </c>
      <c r="BT88" s="15">
        <f>F88/540/SQRT(3)</f>
        <v>129.36922698508283</v>
      </c>
      <c r="BU88" s="9">
        <f t="shared" si="24"/>
        <v>165000</v>
      </c>
      <c r="BV88" s="20">
        <f>BU88</f>
        <v>165000</v>
      </c>
      <c r="BW88" s="20">
        <f t="shared" si="10"/>
        <v>165000</v>
      </c>
      <c r="BX88" s="20">
        <f>BW88</f>
        <v>165000</v>
      </c>
      <c r="BY88" s="20">
        <f t="shared" si="10"/>
        <v>165000</v>
      </c>
      <c r="BZ88" s="20">
        <f t="shared" si="10"/>
        <v>165000</v>
      </c>
      <c r="CA88" s="20">
        <f t="shared" si="10"/>
        <v>165000</v>
      </c>
      <c r="CB88" s="20">
        <f t="shared" si="10"/>
        <v>165000</v>
      </c>
      <c r="CC88" s="20">
        <f t="shared" si="10"/>
        <v>165000</v>
      </c>
      <c r="CD88" s="20">
        <f>CB88</f>
        <v>165000</v>
      </c>
      <c r="CE88" s="20">
        <f>CC88</f>
        <v>165000</v>
      </c>
      <c r="CF88" s="15"/>
      <c r="CG88" s="15"/>
      <c r="CH88" s="15"/>
      <c r="CI88" s="15"/>
      <c r="CJ88" s="15"/>
      <c r="CK88" s="15"/>
      <c r="CL88" s="15">
        <v>0</v>
      </c>
      <c r="CM88" s="9" t="s">
        <v>134</v>
      </c>
    </row>
    <row r="89" spans="1:91" ht="15.6" x14ac:dyDescent="0.3">
      <c r="A89" s="15" t="s">
        <v>196</v>
      </c>
      <c r="B89" s="22" t="s">
        <v>197</v>
      </c>
      <c r="C89" s="15">
        <v>125000</v>
      </c>
      <c r="D89" s="15">
        <v>125000</v>
      </c>
      <c r="E89" s="15">
        <f>D89*[1]Rentabiliteit!$V$74</f>
        <v>125000</v>
      </c>
      <c r="F89" s="15">
        <v>125000</v>
      </c>
      <c r="G89" s="17">
        <v>99</v>
      </c>
      <c r="H89" s="17">
        <v>98.9</v>
      </c>
      <c r="I89" s="17">
        <v>98.7</v>
      </c>
      <c r="J89" s="15">
        <v>1</v>
      </c>
      <c r="K89" s="5" t="s">
        <v>95</v>
      </c>
      <c r="L89" s="15">
        <v>999999</v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>
        <v>900</v>
      </c>
      <c r="AC89" s="15">
        <v>860</v>
      </c>
      <c r="AD89" s="20">
        <v>1300</v>
      </c>
      <c r="AE89" s="15">
        <v>1500</v>
      </c>
      <c r="AF89" s="5">
        <f t="shared" si="11"/>
        <v>0</v>
      </c>
      <c r="AG89" s="15">
        <v>150</v>
      </c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5">
        <f t="shared" si="5"/>
        <v>0</v>
      </c>
      <c r="AX89" s="15">
        <v>300</v>
      </c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24" t="s">
        <v>96</v>
      </c>
      <c r="BO89" s="17">
        <v>120</v>
      </c>
      <c r="BP89" s="15" t="s">
        <v>174</v>
      </c>
      <c r="BQ89" s="19">
        <v>43607</v>
      </c>
      <c r="BR89" s="15"/>
      <c r="BS89" s="15">
        <f t="shared" si="14"/>
        <v>126646.40324214792</v>
      </c>
      <c r="BT89" s="15">
        <f>F89/600/SQRT(3)</f>
        <v>120.28130608117205</v>
      </c>
      <c r="BU89" s="9">
        <f t="shared" si="24"/>
        <v>187500</v>
      </c>
      <c r="BV89" s="20">
        <f t="shared" ref="BV89" si="25">BU89</f>
        <v>187500</v>
      </c>
      <c r="BW89" s="20">
        <f t="shared" si="10"/>
        <v>187500</v>
      </c>
      <c r="BX89" s="20">
        <f>BV89</f>
        <v>187500</v>
      </c>
      <c r="BY89" s="20">
        <f t="shared" si="10"/>
        <v>187500</v>
      </c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>
        <v>0</v>
      </c>
      <c r="CM89" s="9" t="s">
        <v>134</v>
      </c>
    </row>
    <row r="90" spans="1:91" x14ac:dyDescent="0.3">
      <c r="A90" s="5" t="s">
        <v>122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9">
        <v>9999999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9"/>
    </row>
    <row r="91" spans="1:9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2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12"/>
      <c r="CM91" s="12"/>
    </row>
    <row r="92" spans="1:91" ht="15.6" x14ac:dyDescent="0.3">
      <c r="A92" s="1" t="s">
        <v>198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11"/>
      <c r="BS92" s="12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</row>
    <row r="93" spans="1:91" x14ac:dyDescent="0.3">
      <c r="A93" s="5" t="s">
        <v>1</v>
      </c>
      <c r="B93" s="5" t="s">
        <v>2</v>
      </c>
      <c r="C93" s="5" t="s">
        <v>3</v>
      </c>
      <c r="D93" s="5" t="s">
        <v>4</v>
      </c>
      <c r="E93" s="5" t="s">
        <v>5</v>
      </c>
      <c r="F93" s="5" t="s">
        <v>6</v>
      </c>
      <c r="G93" s="5" t="s">
        <v>7</v>
      </c>
      <c r="H93" s="5" t="s">
        <v>8</v>
      </c>
      <c r="I93" s="5" t="s">
        <v>9</v>
      </c>
      <c r="J93" s="5" t="s">
        <v>10</v>
      </c>
      <c r="K93" s="5" t="s">
        <v>11</v>
      </c>
      <c r="L93" s="5" t="s">
        <v>12</v>
      </c>
      <c r="M93" s="5" t="s">
        <v>13</v>
      </c>
      <c r="N93" s="5" t="s">
        <v>14</v>
      </c>
      <c r="O93" s="5" t="s">
        <v>15</v>
      </c>
      <c r="P93" s="5" t="s">
        <v>16</v>
      </c>
      <c r="Q93" s="5" t="s">
        <v>17</v>
      </c>
      <c r="R93" s="5" t="s">
        <v>18</v>
      </c>
      <c r="S93" s="5" t="s">
        <v>19</v>
      </c>
      <c r="T93" s="5" t="s">
        <v>20</v>
      </c>
      <c r="U93" s="5" t="s">
        <v>21</v>
      </c>
      <c r="V93" s="5" t="s">
        <v>22</v>
      </c>
      <c r="W93" s="5" t="s">
        <v>23</v>
      </c>
      <c r="X93" s="5" t="s">
        <v>24</v>
      </c>
      <c r="Y93" s="5" t="s">
        <v>25</v>
      </c>
      <c r="Z93" s="5" t="s">
        <v>26</v>
      </c>
      <c r="AA93" s="5" t="s">
        <v>27</v>
      </c>
      <c r="AB93" s="5" t="s">
        <v>28</v>
      </c>
      <c r="AC93" s="5" t="s">
        <v>29</v>
      </c>
      <c r="AD93" s="5" t="s">
        <v>30</v>
      </c>
      <c r="AE93" s="5" t="s">
        <v>31</v>
      </c>
      <c r="AF93" s="5" t="s">
        <v>32</v>
      </c>
      <c r="AG93" s="5" t="s">
        <v>33</v>
      </c>
      <c r="AH93" s="5" t="s">
        <v>34</v>
      </c>
      <c r="AI93" s="5" t="s">
        <v>35</v>
      </c>
      <c r="AJ93" s="5" t="s">
        <v>36</v>
      </c>
      <c r="AK93" s="5" t="s">
        <v>37</v>
      </c>
      <c r="AL93" s="5" t="s">
        <v>38</v>
      </c>
      <c r="AM93" s="5" t="s">
        <v>39</v>
      </c>
      <c r="AN93" s="5" t="s">
        <v>40</v>
      </c>
      <c r="AO93" s="5" t="s">
        <v>41</v>
      </c>
      <c r="AP93" s="5" t="s">
        <v>42</v>
      </c>
      <c r="AQ93" s="5" t="s">
        <v>43</v>
      </c>
      <c r="AR93" s="5" t="s">
        <v>44</v>
      </c>
      <c r="AS93" s="5" t="s">
        <v>45</v>
      </c>
      <c r="AT93" s="5" t="s">
        <v>46</v>
      </c>
      <c r="AU93" s="5" t="s">
        <v>47</v>
      </c>
      <c r="AV93" s="5" t="s">
        <v>48</v>
      </c>
      <c r="AW93" s="5" t="s">
        <v>49</v>
      </c>
      <c r="AX93" s="5" t="s">
        <v>50</v>
      </c>
      <c r="AY93" s="5" t="s">
        <v>51</v>
      </c>
      <c r="AZ93" s="5" t="s">
        <v>52</v>
      </c>
      <c r="BA93" s="5" t="s">
        <v>53</v>
      </c>
      <c r="BB93" s="5" t="s">
        <v>54</v>
      </c>
      <c r="BC93" s="5" t="s">
        <v>55</v>
      </c>
      <c r="BD93" s="5" t="s">
        <v>56</v>
      </c>
      <c r="BE93" s="5" t="s">
        <v>57</v>
      </c>
      <c r="BF93" s="5" t="s">
        <v>58</v>
      </c>
      <c r="BG93" s="5" t="s">
        <v>59</v>
      </c>
      <c r="BH93" s="5" t="s">
        <v>60</v>
      </c>
      <c r="BI93" s="5" t="s">
        <v>61</v>
      </c>
      <c r="BJ93" s="5" t="s">
        <v>62</v>
      </c>
      <c r="BK93" s="5" t="s">
        <v>63</v>
      </c>
      <c r="BL93" s="5" t="s">
        <v>64</v>
      </c>
      <c r="BM93" s="5" t="s">
        <v>65</v>
      </c>
      <c r="BN93" s="5" t="s">
        <v>66</v>
      </c>
      <c r="BO93" s="5" t="s">
        <v>67</v>
      </c>
      <c r="BP93" s="5" t="s">
        <v>68</v>
      </c>
      <c r="BQ93" s="5" t="s">
        <v>69</v>
      </c>
      <c r="BR93" s="5" t="s">
        <v>70</v>
      </c>
      <c r="BS93" s="5" t="s">
        <v>71</v>
      </c>
      <c r="BT93" s="5" t="s">
        <v>72</v>
      </c>
      <c r="BU93" s="5" t="s">
        <v>73</v>
      </c>
      <c r="BV93" s="5" t="s">
        <v>74</v>
      </c>
      <c r="BW93" s="5" t="s">
        <v>75</v>
      </c>
      <c r="BX93" s="5" t="s">
        <v>76</v>
      </c>
      <c r="BY93" s="5" t="s">
        <v>77</v>
      </c>
      <c r="BZ93" s="5" t="s">
        <v>78</v>
      </c>
      <c r="CA93" s="5" t="s">
        <v>79</v>
      </c>
      <c r="CB93" s="5" t="s">
        <v>80</v>
      </c>
      <c r="CC93" s="5" t="s">
        <v>81</v>
      </c>
      <c r="CD93" s="5" t="s">
        <v>82</v>
      </c>
      <c r="CE93" s="5" t="s">
        <v>83</v>
      </c>
      <c r="CF93" s="5" t="s">
        <v>84</v>
      </c>
      <c r="CG93" s="5" t="s">
        <v>85</v>
      </c>
      <c r="CH93" s="5" t="s">
        <v>86</v>
      </c>
      <c r="CI93" s="5" t="s">
        <v>87</v>
      </c>
      <c r="CJ93" s="5" t="s">
        <v>88</v>
      </c>
      <c r="CK93" s="5" t="s">
        <v>89</v>
      </c>
      <c r="CL93" s="5" t="s">
        <v>90</v>
      </c>
      <c r="CM93" s="5" t="s">
        <v>91</v>
      </c>
    </row>
    <row r="94" spans="1:91" x14ac:dyDescent="0.3">
      <c r="A94" s="5" t="s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</row>
    <row r="95" spans="1:91" x14ac:dyDescent="0.3">
      <c r="A95" s="5" t="s">
        <v>199</v>
      </c>
      <c r="B95" s="5" t="s">
        <v>94</v>
      </c>
      <c r="C95" s="5">
        <v>700</v>
      </c>
      <c r="D95" s="5">
        <v>770</v>
      </c>
      <c r="E95" s="5">
        <f>D95*[1]Rentabiliteit!$V$74</f>
        <v>770</v>
      </c>
      <c r="F95" s="5">
        <v>770</v>
      </c>
      <c r="G95" s="6">
        <v>96.6</v>
      </c>
      <c r="H95" s="6">
        <v>95.3</v>
      </c>
      <c r="I95" s="13"/>
      <c r="J95" s="5">
        <v>1</v>
      </c>
      <c r="K95" s="5" t="s">
        <v>95</v>
      </c>
      <c r="L95" s="5">
        <v>1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60</v>
      </c>
      <c r="AC95" s="5">
        <v>50</v>
      </c>
      <c r="AD95" s="5">
        <v>500</v>
      </c>
      <c r="AE95" s="5">
        <v>600</v>
      </c>
      <c r="AF95" s="5">
        <f>IF(OR($K95=1,$L95="Yes"),SUM(AG95:AV95),0)</f>
        <v>0</v>
      </c>
      <c r="AG95" s="5">
        <v>14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f t="shared" ref="AW95:AW116" si="26">IF(OR($K95=1,$L95="Yes"),SUM(AX95:BM95),0)</f>
        <v>0</v>
      </c>
      <c r="AX95" s="5">
        <v>22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7" t="s">
        <v>96</v>
      </c>
      <c r="BO95" s="6">
        <v>4.4000000000000004</v>
      </c>
      <c r="BP95" s="5" t="s">
        <v>171</v>
      </c>
      <c r="BQ95" s="8">
        <v>44698</v>
      </c>
      <c r="BR95" s="5"/>
      <c r="BS95" s="9">
        <f>E95/(IF(I95=0,G95,I95)/100)</f>
        <v>797.10144927536237</v>
      </c>
      <c r="BT95" s="6">
        <f t="shared" ref="BT95:BT103" si="27">F95/230</f>
        <v>3.347826086956522</v>
      </c>
      <c r="BU95" s="15">
        <f t="shared" ref="BU95:BU116" si="28">200%*C95</f>
        <v>1400</v>
      </c>
      <c r="BV95" s="10">
        <f>BU95</f>
        <v>1400</v>
      </c>
      <c r="BW95" s="10">
        <f t="shared" ref="BW95:BW116" si="29">BU95</f>
        <v>1400</v>
      </c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>
        <v>0</v>
      </c>
      <c r="CM95" s="9" t="s">
        <v>200</v>
      </c>
    </row>
    <row r="96" spans="1:91" x14ac:dyDescent="0.3">
      <c r="A96" s="5" t="s">
        <v>201</v>
      </c>
      <c r="B96" s="5" t="s">
        <v>94</v>
      </c>
      <c r="C96" s="5">
        <v>1000</v>
      </c>
      <c r="D96" s="5">
        <v>1100</v>
      </c>
      <c r="E96" s="5">
        <f>D96*[1]Rentabiliteit!$V$74</f>
        <v>1100</v>
      </c>
      <c r="F96" s="5">
        <v>1100</v>
      </c>
      <c r="G96" s="6">
        <v>96.6</v>
      </c>
      <c r="H96" s="6">
        <v>95.3</v>
      </c>
      <c r="I96" s="13"/>
      <c r="J96" s="5">
        <v>1</v>
      </c>
      <c r="K96" s="5" t="s">
        <v>95</v>
      </c>
      <c r="L96" s="5">
        <v>1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60</v>
      </c>
      <c r="AC96" s="5">
        <v>50</v>
      </c>
      <c r="AD96" s="5">
        <v>500</v>
      </c>
      <c r="AE96" s="5">
        <v>600</v>
      </c>
      <c r="AF96" s="5">
        <f t="shared" ref="AF96:AF116" si="30">IF(OR($K96=1,$L96="Yes"),SUM(AG96:AV96),0)</f>
        <v>0</v>
      </c>
      <c r="AG96" s="5">
        <v>14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>
        <f t="shared" si="26"/>
        <v>0</v>
      </c>
      <c r="AX96" s="5">
        <v>22</v>
      </c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7" t="s">
        <v>96</v>
      </c>
      <c r="BO96" s="6">
        <v>5.2</v>
      </c>
      <c r="BP96" s="5" t="s">
        <v>171</v>
      </c>
      <c r="BQ96" s="8">
        <v>44698</v>
      </c>
      <c r="BR96" s="5"/>
      <c r="BS96" s="9">
        <v>1128.2051282051282</v>
      </c>
      <c r="BT96" s="6">
        <f t="shared" si="27"/>
        <v>4.7826086956521738</v>
      </c>
      <c r="BU96" s="15">
        <f t="shared" si="28"/>
        <v>2000</v>
      </c>
      <c r="BV96" s="10">
        <f>BU96</f>
        <v>2000</v>
      </c>
      <c r="BW96" s="10">
        <f t="shared" si="29"/>
        <v>2000</v>
      </c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>
        <v>0</v>
      </c>
      <c r="CM96" s="9" t="s">
        <v>200</v>
      </c>
    </row>
    <row r="97" spans="1:91" x14ac:dyDescent="0.3">
      <c r="A97" s="5" t="s">
        <v>202</v>
      </c>
      <c r="B97" s="5" t="s">
        <v>94</v>
      </c>
      <c r="C97" s="5">
        <v>1500</v>
      </c>
      <c r="D97" s="5">
        <v>1650</v>
      </c>
      <c r="E97" s="5">
        <f>D97*[1]Rentabiliteit!$V$74</f>
        <v>1650</v>
      </c>
      <c r="F97" s="5">
        <v>1650</v>
      </c>
      <c r="G97" s="6">
        <v>96.6</v>
      </c>
      <c r="H97" s="6">
        <v>95.4</v>
      </c>
      <c r="I97" s="13"/>
      <c r="J97" s="5">
        <v>1</v>
      </c>
      <c r="K97" s="5" t="s">
        <v>95</v>
      </c>
      <c r="L97" s="5">
        <v>1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60</v>
      </c>
      <c r="AC97" s="5">
        <v>50</v>
      </c>
      <c r="AD97" s="5">
        <v>500</v>
      </c>
      <c r="AE97" s="5">
        <v>600</v>
      </c>
      <c r="AF97" s="5">
        <f t="shared" si="30"/>
        <v>0</v>
      </c>
      <c r="AG97" s="5">
        <v>14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>
        <f t="shared" si="26"/>
        <v>0</v>
      </c>
      <c r="AX97" s="5">
        <v>22</v>
      </c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7" t="s">
        <v>96</v>
      </c>
      <c r="BO97" s="6">
        <v>8.1</v>
      </c>
      <c r="BP97" s="5" t="s">
        <v>171</v>
      </c>
      <c r="BQ97" s="8">
        <v>44698</v>
      </c>
      <c r="BR97" s="5"/>
      <c r="BS97" s="9">
        <f t="shared" ref="BS97:BS116" si="31">E97/(IF(I97=0,G97,I97)/100)</f>
        <v>1708.0745341614906</v>
      </c>
      <c r="BT97" s="6">
        <f t="shared" si="27"/>
        <v>7.1739130434782608</v>
      </c>
      <c r="BU97" s="15">
        <f t="shared" si="28"/>
        <v>3000</v>
      </c>
      <c r="BV97" s="10">
        <f>BU97</f>
        <v>3000</v>
      </c>
      <c r="BW97" s="10">
        <f t="shared" si="29"/>
        <v>3000</v>
      </c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>
        <v>0</v>
      </c>
      <c r="CM97" s="9" t="s">
        <v>200</v>
      </c>
    </row>
    <row r="98" spans="1:91" x14ac:dyDescent="0.3">
      <c r="A98" s="5" t="s">
        <v>203</v>
      </c>
      <c r="B98" s="5" t="s">
        <v>94</v>
      </c>
      <c r="C98" s="5">
        <v>2000</v>
      </c>
      <c r="D98" s="5">
        <v>2200</v>
      </c>
      <c r="E98" s="5">
        <f>D98*[1]Rentabiliteit!$V$74</f>
        <v>2200</v>
      </c>
      <c r="F98" s="5">
        <v>2200</v>
      </c>
      <c r="G98" s="6">
        <v>97.1</v>
      </c>
      <c r="H98" s="6">
        <v>96.6</v>
      </c>
      <c r="I98" s="13"/>
      <c r="J98" s="5">
        <v>1</v>
      </c>
      <c r="K98" s="5" t="s">
        <v>95</v>
      </c>
      <c r="L98" s="5">
        <v>1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90</v>
      </c>
      <c r="AC98" s="5">
        <v>80</v>
      </c>
      <c r="AD98" s="5">
        <v>500</v>
      </c>
      <c r="AE98" s="5">
        <v>600</v>
      </c>
      <c r="AF98" s="5">
        <f t="shared" si="30"/>
        <v>0</v>
      </c>
      <c r="AG98" s="5">
        <v>14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>
        <f t="shared" si="26"/>
        <v>0</v>
      </c>
      <c r="AX98" s="5">
        <v>22</v>
      </c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7" t="s">
        <v>96</v>
      </c>
      <c r="BO98" s="6">
        <v>10.5</v>
      </c>
      <c r="BP98" s="5" t="s">
        <v>171</v>
      </c>
      <c r="BQ98" s="8">
        <v>44698</v>
      </c>
      <c r="BR98" s="5"/>
      <c r="BS98" s="9">
        <f t="shared" si="31"/>
        <v>2265.7054582904225</v>
      </c>
      <c r="BT98" s="6">
        <f t="shared" si="27"/>
        <v>9.5652173913043477</v>
      </c>
      <c r="BU98" s="15">
        <f t="shared" si="28"/>
        <v>4000</v>
      </c>
      <c r="BV98" s="10">
        <f>BU98</f>
        <v>4000</v>
      </c>
      <c r="BW98" s="10">
        <f t="shared" si="29"/>
        <v>4000</v>
      </c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>
        <v>0</v>
      </c>
      <c r="CM98" s="9" t="s">
        <v>200</v>
      </c>
    </row>
    <row r="99" spans="1:91" x14ac:dyDescent="0.3">
      <c r="A99" s="5" t="s">
        <v>204</v>
      </c>
      <c r="B99" s="5" t="s">
        <v>94</v>
      </c>
      <c r="C99" s="5">
        <v>3000</v>
      </c>
      <c r="D99" s="5">
        <v>3300</v>
      </c>
      <c r="E99" s="5">
        <f>D99*[1]Rentabiliteit!$V$74</f>
        <v>3300</v>
      </c>
      <c r="F99" s="5">
        <v>3300</v>
      </c>
      <c r="G99" s="5">
        <v>97.1</v>
      </c>
      <c r="H99" s="5">
        <v>96.7</v>
      </c>
      <c r="I99" s="13"/>
      <c r="J99" s="5">
        <v>1</v>
      </c>
      <c r="K99" s="5" t="s">
        <v>95</v>
      </c>
      <c r="L99" s="5">
        <v>1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90</v>
      </c>
      <c r="AC99" s="5">
        <v>80</v>
      </c>
      <c r="AD99" s="5">
        <v>500</v>
      </c>
      <c r="AE99" s="5">
        <v>600</v>
      </c>
      <c r="AF99" s="5">
        <f>IF(OR($K99=1,$L99="Yes"),SUM(AG99:AV99),0)</f>
        <v>0</v>
      </c>
      <c r="AG99" s="5">
        <v>14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>
        <f>IF(OR($K99=1,$L99="Yes"),SUM(AX99:BM99),0)</f>
        <v>0</v>
      </c>
      <c r="AX99" s="5">
        <v>22</v>
      </c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7" t="s">
        <v>96</v>
      </c>
      <c r="BO99" s="5">
        <v>15.7</v>
      </c>
      <c r="BP99" s="5" t="s">
        <v>171</v>
      </c>
      <c r="BQ99" s="8">
        <v>44698</v>
      </c>
      <c r="BR99" s="5"/>
      <c r="BS99" s="9">
        <f>E99/(IF(I99=0,G99,I99)/100)</f>
        <v>3398.5581874356335</v>
      </c>
      <c r="BT99" s="6">
        <f>F99/230</f>
        <v>14.347826086956522</v>
      </c>
      <c r="BU99" s="15">
        <f>200%*C99</f>
        <v>6000</v>
      </c>
      <c r="BV99" s="10">
        <f>BU99</f>
        <v>6000</v>
      </c>
      <c r="BW99" s="10">
        <f>BU99</f>
        <v>6000</v>
      </c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>
        <v>0</v>
      </c>
      <c r="CM99" s="9" t="s">
        <v>200</v>
      </c>
    </row>
    <row r="100" spans="1:91" x14ac:dyDescent="0.3">
      <c r="A100" s="5" t="s">
        <v>205</v>
      </c>
      <c r="B100" s="5" t="s">
        <v>94</v>
      </c>
      <c r="C100" s="5">
        <v>3000</v>
      </c>
      <c r="D100" s="5">
        <v>3300</v>
      </c>
      <c r="E100" s="5">
        <f>D100*[1]Rentabiliteit!$V$74</f>
        <v>3300</v>
      </c>
      <c r="F100" s="5">
        <v>3300</v>
      </c>
      <c r="G100" s="5">
        <v>97.3</v>
      </c>
      <c r="H100" s="5">
        <v>96.6</v>
      </c>
      <c r="I100" s="13"/>
      <c r="J100" s="5">
        <v>2</v>
      </c>
      <c r="K100" s="5" t="s">
        <v>113</v>
      </c>
      <c r="L100" s="5">
        <v>1</v>
      </c>
      <c r="M100" s="5">
        <v>1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120</v>
      </c>
      <c r="AC100" s="5">
        <v>90</v>
      </c>
      <c r="AD100" s="5">
        <v>520</v>
      </c>
      <c r="AE100" s="5">
        <v>600</v>
      </c>
      <c r="AF100" s="5">
        <f t="shared" si="30"/>
        <v>0</v>
      </c>
      <c r="AG100" s="5">
        <v>14</v>
      </c>
      <c r="AH100" s="5">
        <f>AG100</f>
        <v>14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>
        <f t="shared" si="26"/>
        <v>0</v>
      </c>
      <c r="AX100" s="5">
        <v>22</v>
      </c>
      <c r="AY100" s="5">
        <v>22</v>
      </c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7" t="s">
        <v>96</v>
      </c>
      <c r="BO100" s="5">
        <v>15.7</v>
      </c>
      <c r="BP100" s="5" t="s">
        <v>171</v>
      </c>
      <c r="BQ100" s="8">
        <v>44698</v>
      </c>
      <c r="BR100" s="5"/>
      <c r="BS100" s="9">
        <f t="shared" si="31"/>
        <v>3391.5724563206577</v>
      </c>
      <c r="BT100" s="6">
        <f t="shared" si="27"/>
        <v>14.347826086956522</v>
      </c>
      <c r="BU100" s="15">
        <f t="shared" si="28"/>
        <v>6000</v>
      </c>
      <c r="BV100" s="10">
        <f t="shared" ref="BV100:BV113" si="32">BU100</f>
        <v>6000</v>
      </c>
      <c r="BW100" s="10">
        <f t="shared" si="29"/>
        <v>6000</v>
      </c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>
        <v>0</v>
      </c>
      <c r="CM100" s="9" t="s">
        <v>200</v>
      </c>
    </row>
    <row r="101" spans="1:91" x14ac:dyDescent="0.3">
      <c r="A101" s="5" t="s">
        <v>206</v>
      </c>
      <c r="B101" s="5" t="s">
        <v>94</v>
      </c>
      <c r="C101" s="5">
        <v>4000</v>
      </c>
      <c r="D101" s="5">
        <v>4400</v>
      </c>
      <c r="E101" s="5">
        <f>D101*[1]Rentabiliteit!$V$74</f>
        <v>4400</v>
      </c>
      <c r="F101" s="5">
        <v>4400</v>
      </c>
      <c r="G101" s="5">
        <v>97.6</v>
      </c>
      <c r="H101" s="5">
        <v>97.1</v>
      </c>
      <c r="I101" s="13"/>
      <c r="J101" s="5">
        <v>2</v>
      </c>
      <c r="K101" s="5" t="s">
        <v>113</v>
      </c>
      <c r="L101" s="5">
        <v>1</v>
      </c>
      <c r="M101" s="5">
        <v>1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>
        <v>120</v>
      </c>
      <c r="AC101" s="5">
        <v>90</v>
      </c>
      <c r="AD101" s="5">
        <v>520</v>
      </c>
      <c r="AE101" s="5">
        <v>600</v>
      </c>
      <c r="AF101" s="5">
        <f t="shared" si="30"/>
        <v>0</v>
      </c>
      <c r="AG101" s="5">
        <v>14</v>
      </c>
      <c r="AH101" s="5">
        <f>AG101</f>
        <v>14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>
        <f t="shared" si="26"/>
        <v>0</v>
      </c>
      <c r="AX101" s="5">
        <v>22</v>
      </c>
      <c r="AY101" s="5">
        <v>22</v>
      </c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7" t="s">
        <v>96</v>
      </c>
      <c r="BO101" s="6">
        <v>21</v>
      </c>
      <c r="BP101" s="5" t="s">
        <v>171</v>
      </c>
      <c r="BQ101" s="8">
        <v>44698</v>
      </c>
      <c r="BR101" s="5"/>
      <c r="BS101" s="9">
        <f t="shared" si="31"/>
        <v>4508.1967213114758</v>
      </c>
      <c r="BT101" s="6">
        <f t="shared" si="27"/>
        <v>19.130434782608695</v>
      </c>
      <c r="BU101" s="15">
        <f t="shared" si="28"/>
        <v>8000</v>
      </c>
      <c r="BV101" s="10">
        <f t="shared" si="32"/>
        <v>8000</v>
      </c>
      <c r="BW101" s="10">
        <f t="shared" si="29"/>
        <v>8000</v>
      </c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>
        <v>0</v>
      </c>
      <c r="CM101" s="9" t="s">
        <v>200</v>
      </c>
    </row>
    <row r="102" spans="1:91" x14ac:dyDescent="0.3">
      <c r="A102" s="5" t="s">
        <v>207</v>
      </c>
      <c r="B102" s="5" t="s">
        <v>94</v>
      </c>
      <c r="C102" s="5">
        <v>4600</v>
      </c>
      <c r="D102" s="5">
        <v>5000</v>
      </c>
      <c r="E102" s="5">
        <f>D102*[1]Rentabiliteit!$V$74</f>
        <v>5000</v>
      </c>
      <c r="F102" s="5">
        <v>5000</v>
      </c>
      <c r="G102" s="5">
        <v>97.6</v>
      </c>
      <c r="H102" s="5">
        <v>97.1</v>
      </c>
      <c r="I102" s="13"/>
      <c r="J102" s="5">
        <v>2</v>
      </c>
      <c r="K102" s="5" t="s">
        <v>113</v>
      </c>
      <c r="L102" s="5">
        <v>1</v>
      </c>
      <c r="M102" s="5">
        <v>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>
        <v>120</v>
      </c>
      <c r="AC102" s="5">
        <v>90</v>
      </c>
      <c r="AD102" s="5">
        <v>520</v>
      </c>
      <c r="AE102" s="5">
        <v>600</v>
      </c>
      <c r="AF102" s="5">
        <f t="shared" si="30"/>
        <v>0</v>
      </c>
      <c r="AG102" s="5">
        <v>14</v>
      </c>
      <c r="AH102" s="5">
        <f>AG102</f>
        <v>14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>
        <f t="shared" si="26"/>
        <v>0</v>
      </c>
      <c r="AX102" s="5">
        <v>22</v>
      </c>
      <c r="AY102" s="5">
        <v>22</v>
      </c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7" t="s">
        <v>96</v>
      </c>
      <c r="BO102" s="6">
        <v>23.8</v>
      </c>
      <c r="BP102" s="5" t="s">
        <v>171</v>
      </c>
      <c r="BQ102" s="8">
        <v>44698</v>
      </c>
      <c r="BR102" s="5"/>
      <c r="BS102" s="9">
        <f t="shared" si="31"/>
        <v>5122.9508196721308</v>
      </c>
      <c r="BT102" s="6">
        <f t="shared" si="27"/>
        <v>21.739130434782609</v>
      </c>
      <c r="BU102" s="15">
        <f t="shared" si="28"/>
        <v>9200</v>
      </c>
      <c r="BV102" s="10">
        <f t="shared" si="32"/>
        <v>9200</v>
      </c>
      <c r="BW102" s="10">
        <f t="shared" si="29"/>
        <v>9200</v>
      </c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>
        <v>0</v>
      </c>
      <c r="CM102" s="9" t="s">
        <v>200</v>
      </c>
    </row>
    <row r="103" spans="1:91" x14ac:dyDescent="0.3">
      <c r="A103" s="5" t="s">
        <v>208</v>
      </c>
      <c r="B103" s="5" t="s">
        <v>94</v>
      </c>
      <c r="C103" s="5">
        <v>5000</v>
      </c>
      <c r="D103" s="5">
        <v>5000</v>
      </c>
      <c r="E103" s="5">
        <f>D103*[1]Rentabiliteit!$V$74</f>
        <v>5000</v>
      </c>
      <c r="F103" s="5">
        <v>5000</v>
      </c>
      <c r="G103" s="5">
        <v>97.6</v>
      </c>
      <c r="H103" s="5">
        <v>97.1</v>
      </c>
      <c r="I103" s="13"/>
      <c r="J103" s="5">
        <v>2</v>
      </c>
      <c r="K103" s="5" t="s">
        <v>113</v>
      </c>
      <c r="L103" s="5">
        <v>1</v>
      </c>
      <c r="M103" s="5">
        <v>1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>
        <v>120</v>
      </c>
      <c r="AC103" s="5">
        <v>90</v>
      </c>
      <c r="AD103" s="5">
        <v>520</v>
      </c>
      <c r="AE103" s="5">
        <v>600</v>
      </c>
      <c r="AF103" s="5">
        <f t="shared" si="30"/>
        <v>0</v>
      </c>
      <c r="AG103" s="5">
        <v>14</v>
      </c>
      <c r="AH103" s="5">
        <f>AG103</f>
        <v>14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>
        <f t="shared" si="26"/>
        <v>0</v>
      </c>
      <c r="AX103" s="5">
        <v>22</v>
      </c>
      <c r="AY103" s="5">
        <v>22</v>
      </c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7" t="s">
        <v>96</v>
      </c>
      <c r="BO103" s="6">
        <v>25</v>
      </c>
      <c r="BP103" s="5" t="s">
        <v>171</v>
      </c>
      <c r="BQ103" s="8">
        <v>44960</v>
      </c>
      <c r="BR103" s="5"/>
      <c r="BS103" s="9">
        <f t="shared" si="31"/>
        <v>5122.9508196721308</v>
      </c>
      <c r="BT103" s="6">
        <f t="shared" si="27"/>
        <v>21.739130434782609</v>
      </c>
      <c r="BU103" s="15">
        <f t="shared" si="28"/>
        <v>10000</v>
      </c>
      <c r="BV103" s="10">
        <f t="shared" si="32"/>
        <v>10000</v>
      </c>
      <c r="BW103" s="10">
        <f t="shared" si="29"/>
        <v>10000</v>
      </c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>
        <v>0</v>
      </c>
      <c r="CM103" s="9" t="s">
        <v>200</v>
      </c>
    </row>
    <row r="104" spans="1:91" ht="15.6" x14ac:dyDescent="0.3">
      <c r="A104" s="5" t="s">
        <v>209</v>
      </c>
      <c r="B104" s="22" t="s">
        <v>170</v>
      </c>
      <c r="C104" s="5">
        <v>5000</v>
      </c>
      <c r="D104" s="5">
        <v>5500</v>
      </c>
      <c r="E104" s="5">
        <f>D104*[1]Rentabiliteit!$V$74</f>
        <v>5500</v>
      </c>
      <c r="F104" s="5">
        <v>5500</v>
      </c>
      <c r="G104" s="5">
        <v>98</v>
      </c>
      <c r="H104" s="5">
        <v>97.5</v>
      </c>
      <c r="I104" s="13"/>
      <c r="J104" s="5">
        <v>2</v>
      </c>
      <c r="K104" s="5" t="s">
        <v>113</v>
      </c>
      <c r="L104" s="5">
        <v>1</v>
      </c>
      <c r="M104" s="5">
        <v>1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>
        <v>180</v>
      </c>
      <c r="AC104" s="5">
        <v>160</v>
      </c>
      <c r="AD104" s="14">
        <v>500</v>
      </c>
      <c r="AE104" s="5">
        <v>1100</v>
      </c>
      <c r="AF104" s="5">
        <f t="shared" si="30"/>
        <v>0</v>
      </c>
      <c r="AG104" s="5">
        <v>16</v>
      </c>
      <c r="AH104" s="5">
        <f>AG104</f>
        <v>16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>
        <f t="shared" si="26"/>
        <v>0</v>
      </c>
      <c r="AX104" s="5">
        <v>20</v>
      </c>
      <c r="AY104" s="5">
        <v>20</v>
      </c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7" t="s">
        <v>96</v>
      </c>
      <c r="BO104" s="6">
        <v>14.4</v>
      </c>
      <c r="BP104" s="5" t="s">
        <v>171</v>
      </c>
      <c r="BQ104" s="8">
        <v>45014</v>
      </c>
      <c r="BR104" s="5"/>
      <c r="BS104" s="9">
        <f t="shared" si="31"/>
        <v>5612.2448979591836</v>
      </c>
      <c r="BT104" s="26">
        <f>F104/230/SQRT(3)</f>
        <v>13.806202089317139</v>
      </c>
      <c r="BU104" s="15">
        <f t="shared" si="28"/>
        <v>10000</v>
      </c>
      <c r="BV104" s="10">
        <f t="shared" si="32"/>
        <v>10000</v>
      </c>
      <c r="BW104" s="10">
        <f t="shared" si="29"/>
        <v>10000</v>
      </c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>
        <v>0</v>
      </c>
      <c r="CM104" s="27" t="s">
        <v>165</v>
      </c>
    </row>
    <row r="105" spans="1:91" ht="15.6" x14ac:dyDescent="0.3">
      <c r="A105" s="28" t="s">
        <v>210</v>
      </c>
      <c r="B105" s="29" t="s">
        <v>109</v>
      </c>
      <c r="C105" s="29">
        <v>6000</v>
      </c>
      <c r="D105" s="29">
        <v>6600</v>
      </c>
      <c r="E105" s="5">
        <f>D105*[1]Rentabiliteit!$V$74</f>
        <v>6600</v>
      </c>
      <c r="F105" s="29">
        <v>6600</v>
      </c>
      <c r="G105" s="26">
        <v>98.3</v>
      </c>
      <c r="H105" s="26">
        <v>97.7</v>
      </c>
      <c r="I105" s="30"/>
      <c r="J105" s="29">
        <v>2</v>
      </c>
      <c r="K105" s="28" t="s">
        <v>113</v>
      </c>
      <c r="L105" s="29">
        <v>2</v>
      </c>
      <c r="M105" s="29">
        <v>2</v>
      </c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>
        <v>180</v>
      </c>
      <c r="AC105" s="29">
        <v>160</v>
      </c>
      <c r="AD105" s="31">
        <v>800</v>
      </c>
      <c r="AE105" s="29">
        <v>1100</v>
      </c>
      <c r="AF105" s="28">
        <f t="shared" si="30"/>
        <v>0</v>
      </c>
      <c r="AG105" s="29">
        <v>16</v>
      </c>
      <c r="AH105" s="29">
        <v>16</v>
      </c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8">
        <f t="shared" si="26"/>
        <v>0</v>
      </c>
      <c r="AX105" s="29">
        <v>20</v>
      </c>
      <c r="AY105" s="29">
        <v>20</v>
      </c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32" t="s">
        <v>96</v>
      </c>
      <c r="BO105" s="26">
        <v>9.5</v>
      </c>
      <c r="BP105" s="29" t="s">
        <v>171</v>
      </c>
      <c r="BQ105" s="33">
        <v>44811</v>
      </c>
      <c r="BR105" s="29"/>
      <c r="BS105" s="34">
        <f t="shared" si="31"/>
        <v>6714.1403865717193</v>
      </c>
      <c r="BT105" s="26">
        <f t="shared" ref="BT105" si="33">F105/400/SQRT(3)</f>
        <v>9.5262794416288248</v>
      </c>
      <c r="BU105" s="34">
        <f t="shared" si="28"/>
        <v>12000</v>
      </c>
      <c r="BV105" s="31">
        <f t="shared" si="32"/>
        <v>12000</v>
      </c>
      <c r="BW105" s="31">
        <f t="shared" si="29"/>
        <v>12000</v>
      </c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>
        <v>0</v>
      </c>
      <c r="CM105" s="27" t="s">
        <v>165</v>
      </c>
    </row>
    <row r="106" spans="1:91" ht="15.6" x14ac:dyDescent="0.3">
      <c r="A106" s="5" t="s">
        <v>211</v>
      </c>
      <c r="B106" s="22" t="s">
        <v>170</v>
      </c>
      <c r="C106" s="5">
        <v>6000</v>
      </c>
      <c r="D106" s="5">
        <v>6600</v>
      </c>
      <c r="E106" s="5">
        <f>D106*[1]Rentabiliteit!$V$74</f>
        <v>6600</v>
      </c>
      <c r="F106" s="5">
        <v>6600</v>
      </c>
      <c r="G106" s="5">
        <v>98</v>
      </c>
      <c r="H106" s="5">
        <v>97.5</v>
      </c>
      <c r="I106" s="13"/>
      <c r="J106" s="5">
        <v>2</v>
      </c>
      <c r="K106" s="5" t="s">
        <v>113</v>
      </c>
      <c r="L106" s="5">
        <v>1</v>
      </c>
      <c r="M106" s="5">
        <v>1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>
        <v>180</v>
      </c>
      <c r="AC106" s="5">
        <v>160</v>
      </c>
      <c r="AD106" s="14">
        <v>500</v>
      </c>
      <c r="AE106" s="5">
        <v>1100</v>
      </c>
      <c r="AF106" s="5">
        <f t="shared" si="30"/>
        <v>0</v>
      </c>
      <c r="AG106" s="5">
        <v>16</v>
      </c>
      <c r="AH106" s="5">
        <f>AG106</f>
        <v>16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>
        <f t="shared" si="26"/>
        <v>0</v>
      </c>
      <c r="AX106" s="5">
        <v>20</v>
      </c>
      <c r="AY106" s="5">
        <v>20</v>
      </c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7" t="s">
        <v>96</v>
      </c>
      <c r="BO106" s="6">
        <v>16.7</v>
      </c>
      <c r="BP106" s="5" t="s">
        <v>171</v>
      </c>
      <c r="BQ106" s="8">
        <v>45014</v>
      </c>
      <c r="BR106" s="5"/>
      <c r="BS106" s="9">
        <f t="shared" si="31"/>
        <v>6734.6938775510207</v>
      </c>
      <c r="BT106" s="26">
        <f>F106/230/SQRT(3)</f>
        <v>16.567442507180566</v>
      </c>
      <c r="BU106" s="15">
        <f t="shared" si="28"/>
        <v>12000</v>
      </c>
      <c r="BV106" s="10">
        <f t="shared" si="32"/>
        <v>12000</v>
      </c>
      <c r="BW106" s="10">
        <f t="shared" si="29"/>
        <v>12000</v>
      </c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>
        <v>0</v>
      </c>
      <c r="CM106" s="27" t="s">
        <v>165</v>
      </c>
    </row>
    <row r="107" spans="1:91" ht="15.6" x14ac:dyDescent="0.3">
      <c r="A107" s="28" t="s">
        <v>212</v>
      </c>
      <c r="B107" s="29" t="s">
        <v>109</v>
      </c>
      <c r="C107" s="29">
        <v>8000</v>
      </c>
      <c r="D107" s="29">
        <v>8800</v>
      </c>
      <c r="E107" s="5">
        <f>D107*[1]Rentabiliteit!$V$74</f>
        <v>8800</v>
      </c>
      <c r="F107" s="29">
        <v>8800</v>
      </c>
      <c r="G107" s="26">
        <v>98.5</v>
      </c>
      <c r="H107" s="26">
        <v>97.9</v>
      </c>
      <c r="I107" s="30"/>
      <c r="J107" s="29">
        <v>2</v>
      </c>
      <c r="K107" s="28" t="s">
        <v>113</v>
      </c>
      <c r="L107" s="29">
        <v>2</v>
      </c>
      <c r="M107" s="29">
        <v>2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>
        <v>180</v>
      </c>
      <c r="AC107" s="29">
        <v>160</v>
      </c>
      <c r="AD107" s="31">
        <v>800</v>
      </c>
      <c r="AE107" s="29">
        <v>1100</v>
      </c>
      <c r="AF107" s="28">
        <f t="shared" si="30"/>
        <v>0</v>
      </c>
      <c r="AG107" s="29">
        <v>16</v>
      </c>
      <c r="AH107" s="29">
        <v>16</v>
      </c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8">
        <f t="shared" si="26"/>
        <v>0</v>
      </c>
      <c r="AX107" s="29">
        <v>20</v>
      </c>
      <c r="AY107" s="29">
        <v>20</v>
      </c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32" t="s">
        <v>96</v>
      </c>
      <c r="BO107" s="26">
        <v>12.7</v>
      </c>
      <c r="BP107" s="29" t="s">
        <v>171</v>
      </c>
      <c r="BQ107" s="33">
        <v>44811</v>
      </c>
      <c r="BR107" s="29"/>
      <c r="BS107" s="34">
        <f t="shared" si="31"/>
        <v>8934.0101522842633</v>
      </c>
      <c r="BT107" s="26">
        <f t="shared" ref="BT107:BT116" si="34">F107/400/SQRT(3)</f>
        <v>12.701705922171767</v>
      </c>
      <c r="BU107" s="34">
        <f t="shared" si="28"/>
        <v>16000</v>
      </c>
      <c r="BV107" s="31">
        <f t="shared" si="32"/>
        <v>16000</v>
      </c>
      <c r="BW107" s="31">
        <f t="shared" si="29"/>
        <v>16000</v>
      </c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>
        <v>0</v>
      </c>
      <c r="CM107" s="27" t="s">
        <v>165</v>
      </c>
    </row>
    <row r="108" spans="1:91" ht="15.6" x14ac:dyDescent="0.3">
      <c r="A108" s="28" t="s">
        <v>213</v>
      </c>
      <c r="B108" s="29" t="s">
        <v>109</v>
      </c>
      <c r="C108" s="29">
        <v>8000</v>
      </c>
      <c r="D108" s="29">
        <v>8800</v>
      </c>
      <c r="E108" s="5">
        <f>D108*[1]Rentabiliteit!$V$74</f>
        <v>8800</v>
      </c>
      <c r="F108" s="29">
        <v>8800</v>
      </c>
      <c r="G108" s="26">
        <v>98.5</v>
      </c>
      <c r="H108" s="26">
        <v>97.9</v>
      </c>
      <c r="I108" s="30"/>
      <c r="J108" s="29">
        <v>2</v>
      </c>
      <c r="K108" s="28" t="s">
        <v>113</v>
      </c>
      <c r="L108" s="29">
        <v>2</v>
      </c>
      <c r="M108" s="29">
        <v>2</v>
      </c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>
        <v>180</v>
      </c>
      <c r="AC108" s="29">
        <v>160</v>
      </c>
      <c r="AD108" s="31">
        <v>800</v>
      </c>
      <c r="AE108" s="29">
        <v>1100</v>
      </c>
      <c r="AF108" s="28">
        <f t="shared" si="30"/>
        <v>0</v>
      </c>
      <c r="AG108" s="29">
        <v>32</v>
      </c>
      <c r="AH108" s="29">
        <v>32</v>
      </c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8">
        <f t="shared" si="26"/>
        <v>0</v>
      </c>
      <c r="AX108" s="29">
        <v>40</v>
      </c>
      <c r="AY108" s="29">
        <v>40</v>
      </c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32" t="s">
        <v>96</v>
      </c>
      <c r="BO108" s="26">
        <v>12.7</v>
      </c>
      <c r="BP108" s="29" t="s">
        <v>171</v>
      </c>
      <c r="BQ108" s="33">
        <v>45014</v>
      </c>
      <c r="BR108" s="29"/>
      <c r="BS108" s="34">
        <f t="shared" si="31"/>
        <v>8934.0101522842633</v>
      </c>
      <c r="BT108" s="26">
        <f t="shared" si="34"/>
        <v>12.701705922171767</v>
      </c>
      <c r="BU108" s="34">
        <f t="shared" si="28"/>
        <v>16000</v>
      </c>
      <c r="BV108" s="31">
        <f t="shared" si="32"/>
        <v>16000</v>
      </c>
      <c r="BW108" s="31">
        <f t="shared" si="29"/>
        <v>16000</v>
      </c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>
        <v>0</v>
      </c>
      <c r="CM108" s="27" t="s">
        <v>165</v>
      </c>
    </row>
    <row r="109" spans="1:91" ht="15.6" x14ac:dyDescent="0.3">
      <c r="A109" s="28" t="s">
        <v>214</v>
      </c>
      <c r="B109" s="29" t="s">
        <v>109</v>
      </c>
      <c r="C109" s="29">
        <v>9000</v>
      </c>
      <c r="D109" s="29">
        <v>9900</v>
      </c>
      <c r="E109" s="5">
        <f>D109*[1]Rentabiliteit!$V$74</f>
        <v>9900</v>
      </c>
      <c r="F109" s="29">
        <v>9900</v>
      </c>
      <c r="G109" s="26">
        <v>98.5</v>
      </c>
      <c r="H109" s="26">
        <v>97.9</v>
      </c>
      <c r="I109" s="30"/>
      <c r="J109" s="29">
        <v>2</v>
      </c>
      <c r="K109" s="28" t="s">
        <v>113</v>
      </c>
      <c r="L109" s="29">
        <v>2</v>
      </c>
      <c r="M109" s="29">
        <v>2</v>
      </c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>
        <v>180</v>
      </c>
      <c r="AC109" s="29">
        <v>160</v>
      </c>
      <c r="AD109" s="31">
        <v>800</v>
      </c>
      <c r="AE109" s="29">
        <v>1100</v>
      </c>
      <c r="AF109" s="28">
        <f t="shared" si="30"/>
        <v>0</v>
      </c>
      <c r="AG109" s="29">
        <v>16</v>
      </c>
      <c r="AH109" s="29">
        <v>16</v>
      </c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8">
        <f t="shared" si="26"/>
        <v>0</v>
      </c>
      <c r="AX109" s="29">
        <v>25</v>
      </c>
      <c r="AY109" s="29">
        <v>25</v>
      </c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32" t="s">
        <v>96</v>
      </c>
      <c r="BO109" s="26">
        <v>14.3</v>
      </c>
      <c r="BP109" s="29" t="s">
        <v>171</v>
      </c>
      <c r="BQ109" s="33">
        <v>44811</v>
      </c>
      <c r="BR109" s="29"/>
      <c r="BS109" s="34">
        <f t="shared" si="31"/>
        <v>10050.761421319798</v>
      </c>
      <c r="BT109" s="26">
        <f t="shared" si="34"/>
        <v>14.289419162443238</v>
      </c>
      <c r="BU109" s="34">
        <f t="shared" si="28"/>
        <v>18000</v>
      </c>
      <c r="BV109" s="31">
        <f>BU109</f>
        <v>18000</v>
      </c>
      <c r="BW109" s="31">
        <f>BU109</f>
        <v>18000</v>
      </c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>
        <v>0</v>
      </c>
      <c r="CM109" s="27" t="s">
        <v>165</v>
      </c>
    </row>
    <row r="110" spans="1:91" ht="15.6" x14ac:dyDescent="0.3">
      <c r="A110" s="28" t="s">
        <v>215</v>
      </c>
      <c r="B110" s="29" t="s">
        <v>109</v>
      </c>
      <c r="C110" s="29">
        <v>10000</v>
      </c>
      <c r="D110" s="29">
        <v>11000</v>
      </c>
      <c r="E110" s="5">
        <f>D110*[1]Rentabiliteit!$V$74</f>
        <v>11000</v>
      </c>
      <c r="F110" s="21">
        <v>11000</v>
      </c>
      <c r="G110" s="26">
        <v>98.5</v>
      </c>
      <c r="H110" s="26">
        <v>97.9</v>
      </c>
      <c r="I110" s="35"/>
      <c r="J110" s="29">
        <v>2</v>
      </c>
      <c r="K110" s="28" t="s">
        <v>113</v>
      </c>
      <c r="L110" s="29">
        <v>2</v>
      </c>
      <c r="M110" s="29">
        <v>2</v>
      </c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>
        <v>180</v>
      </c>
      <c r="AC110" s="29">
        <v>160</v>
      </c>
      <c r="AD110" s="31">
        <v>800</v>
      </c>
      <c r="AE110" s="29">
        <v>1100</v>
      </c>
      <c r="AF110" s="28">
        <f t="shared" si="30"/>
        <v>0</v>
      </c>
      <c r="AG110" s="29">
        <v>16</v>
      </c>
      <c r="AH110" s="29">
        <v>16</v>
      </c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8">
        <f t="shared" si="26"/>
        <v>0</v>
      </c>
      <c r="AX110" s="29">
        <v>25</v>
      </c>
      <c r="AY110" s="29">
        <v>25</v>
      </c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32" t="s">
        <v>96</v>
      </c>
      <c r="BO110" s="26">
        <v>14.4</v>
      </c>
      <c r="BP110" s="29" t="s">
        <v>171</v>
      </c>
      <c r="BQ110" s="33">
        <v>44811</v>
      </c>
      <c r="BR110" s="29"/>
      <c r="BS110" s="34">
        <f t="shared" si="31"/>
        <v>11167.51269035533</v>
      </c>
      <c r="BT110" s="26">
        <f>F110/400/SQRT(3)</f>
        <v>15.877132402714709</v>
      </c>
      <c r="BU110" s="34">
        <f t="shared" si="28"/>
        <v>20000</v>
      </c>
      <c r="BV110" s="31">
        <f>BU110</f>
        <v>20000</v>
      </c>
      <c r="BW110" s="31">
        <f>BU110</f>
        <v>20000</v>
      </c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>
        <v>0</v>
      </c>
      <c r="CM110" s="27" t="s">
        <v>216</v>
      </c>
    </row>
    <row r="111" spans="1:91" ht="15.6" x14ac:dyDescent="0.3">
      <c r="A111" s="28" t="s">
        <v>217</v>
      </c>
      <c r="B111" s="29" t="s">
        <v>109</v>
      </c>
      <c r="C111" s="29">
        <v>10000</v>
      </c>
      <c r="D111" s="29">
        <v>10000</v>
      </c>
      <c r="E111" s="5">
        <f>D111*[1]Rentabiliteit!$V$74</f>
        <v>10000</v>
      </c>
      <c r="F111" s="5">
        <v>10000</v>
      </c>
      <c r="G111" s="26">
        <v>98.5</v>
      </c>
      <c r="H111" s="26">
        <v>97.9</v>
      </c>
      <c r="I111" s="35"/>
      <c r="J111" s="29">
        <v>2</v>
      </c>
      <c r="K111" s="28" t="s">
        <v>113</v>
      </c>
      <c r="L111" s="29">
        <v>2</v>
      </c>
      <c r="M111" s="29">
        <v>2</v>
      </c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>
        <v>180</v>
      </c>
      <c r="AC111" s="29">
        <v>160</v>
      </c>
      <c r="AD111" s="31">
        <v>800</v>
      </c>
      <c r="AE111" s="29">
        <v>1100</v>
      </c>
      <c r="AF111" s="28">
        <f t="shared" si="30"/>
        <v>0</v>
      </c>
      <c r="AG111" s="29">
        <v>32</v>
      </c>
      <c r="AH111" s="29">
        <v>32</v>
      </c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8">
        <f t="shared" si="26"/>
        <v>0</v>
      </c>
      <c r="AX111" s="29">
        <v>40</v>
      </c>
      <c r="AY111" s="29">
        <v>40</v>
      </c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32" t="s">
        <v>96</v>
      </c>
      <c r="BO111" s="26">
        <v>14.4</v>
      </c>
      <c r="BP111" s="29" t="s">
        <v>171</v>
      </c>
      <c r="BQ111" s="33">
        <v>45014</v>
      </c>
      <c r="BR111" s="29"/>
      <c r="BS111" s="34">
        <f t="shared" si="31"/>
        <v>10152.284263959391</v>
      </c>
      <c r="BT111" s="26">
        <f>F111/400/SQRT(3)</f>
        <v>14.433756729740645</v>
      </c>
      <c r="BU111" s="34">
        <f t="shared" si="28"/>
        <v>20000</v>
      </c>
      <c r="BV111" s="31">
        <f>BU111</f>
        <v>20000</v>
      </c>
      <c r="BW111" s="31">
        <f>BU111</f>
        <v>20000</v>
      </c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>
        <v>0</v>
      </c>
      <c r="CM111" s="27" t="s">
        <v>165</v>
      </c>
    </row>
    <row r="112" spans="1:91" ht="15.6" x14ac:dyDescent="0.3">
      <c r="A112" s="5" t="s">
        <v>218</v>
      </c>
      <c r="B112" s="22" t="s">
        <v>170</v>
      </c>
      <c r="C112" s="5">
        <v>10000</v>
      </c>
      <c r="D112" s="5">
        <v>10000</v>
      </c>
      <c r="E112" s="5">
        <f>D112*[1]Rentabiliteit!$V$74</f>
        <v>10000</v>
      </c>
      <c r="F112" s="5">
        <v>10000</v>
      </c>
      <c r="G112" s="5">
        <v>98</v>
      </c>
      <c r="H112" s="5">
        <v>97.5</v>
      </c>
      <c r="I112" s="13"/>
      <c r="J112" s="5">
        <v>2</v>
      </c>
      <c r="K112" s="5" t="s">
        <v>113</v>
      </c>
      <c r="L112" s="5">
        <v>2</v>
      </c>
      <c r="M112" s="5">
        <v>2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>
        <v>180</v>
      </c>
      <c r="AC112" s="5">
        <v>160</v>
      </c>
      <c r="AD112" s="14">
        <v>500</v>
      </c>
      <c r="AE112" s="5">
        <v>1100</v>
      </c>
      <c r="AF112" s="5">
        <f t="shared" si="30"/>
        <v>0</v>
      </c>
      <c r="AG112" s="5">
        <v>32</v>
      </c>
      <c r="AH112" s="5">
        <f>AG112</f>
        <v>32</v>
      </c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>
        <f t="shared" si="26"/>
        <v>0</v>
      </c>
      <c r="AX112" s="5">
        <v>40</v>
      </c>
      <c r="AY112" s="5">
        <v>40</v>
      </c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7" t="s">
        <v>96</v>
      </c>
      <c r="BO112" s="6">
        <v>25.1</v>
      </c>
      <c r="BP112" s="5" t="s">
        <v>171</v>
      </c>
      <c r="BQ112" s="8">
        <v>45014</v>
      </c>
      <c r="BR112" s="5"/>
      <c r="BS112" s="9">
        <f t="shared" si="31"/>
        <v>10204.081632653062</v>
      </c>
      <c r="BT112" s="26">
        <f>F112/230/SQRT(3)</f>
        <v>25.102185616940254</v>
      </c>
      <c r="BU112" s="15">
        <f t="shared" si="28"/>
        <v>20000</v>
      </c>
      <c r="BV112" s="10">
        <f t="shared" ref="BV112" si="35">BU112</f>
        <v>20000</v>
      </c>
      <c r="BW112" s="10">
        <f t="shared" ref="BW112" si="36">BU112</f>
        <v>20000</v>
      </c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>
        <v>0</v>
      </c>
      <c r="CM112" s="27" t="s">
        <v>165</v>
      </c>
    </row>
    <row r="113" spans="1:91" ht="15.6" x14ac:dyDescent="0.3">
      <c r="A113" s="29" t="s">
        <v>219</v>
      </c>
      <c r="B113" s="28" t="s">
        <v>109</v>
      </c>
      <c r="C113" s="29">
        <v>12000</v>
      </c>
      <c r="D113" s="29">
        <v>13200</v>
      </c>
      <c r="E113" s="5">
        <f>D113*[1]Rentabiliteit!$V$74</f>
        <v>13200</v>
      </c>
      <c r="F113" s="29">
        <v>13200</v>
      </c>
      <c r="G113" s="26">
        <v>98.6</v>
      </c>
      <c r="H113" s="26">
        <v>98</v>
      </c>
      <c r="I113" s="35"/>
      <c r="J113" s="29">
        <v>2</v>
      </c>
      <c r="K113" s="28" t="s">
        <v>113</v>
      </c>
      <c r="L113" s="34">
        <v>4</v>
      </c>
      <c r="M113" s="34">
        <v>4</v>
      </c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>
        <v>180</v>
      </c>
      <c r="AC113" s="29">
        <v>160</v>
      </c>
      <c r="AD113" s="31">
        <v>800</v>
      </c>
      <c r="AE113" s="29">
        <v>1100</v>
      </c>
      <c r="AF113" s="28">
        <f t="shared" si="30"/>
        <v>0</v>
      </c>
      <c r="AG113" s="29">
        <v>32</v>
      </c>
      <c r="AH113" s="29">
        <v>32</v>
      </c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8">
        <f t="shared" si="26"/>
        <v>0</v>
      </c>
      <c r="AX113" s="29">
        <v>50</v>
      </c>
      <c r="AY113" s="29">
        <v>50</v>
      </c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36" t="s">
        <v>96</v>
      </c>
      <c r="BO113" s="26">
        <v>19.100000000000001</v>
      </c>
      <c r="BP113" s="29" t="s">
        <v>171</v>
      </c>
      <c r="BQ113" s="33">
        <v>44811</v>
      </c>
      <c r="BR113" s="29"/>
      <c r="BS113" s="34">
        <f t="shared" si="31"/>
        <v>13387.423935091278</v>
      </c>
      <c r="BT113" s="37">
        <f t="shared" si="34"/>
        <v>19.05255888325765</v>
      </c>
      <c r="BU113" s="34">
        <f t="shared" si="28"/>
        <v>24000</v>
      </c>
      <c r="BV113" s="38">
        <f t="shared" si="32"/>
        <v>24000</v>
      </c>
      <c r="BW113" s="31">
        <f t="shared" si="29"/>
        <v>24000</v>
      </c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27">
        <v>0</v>
      </c>
      <c r="CM113" s="27" t="s">
        <v>216</v>
      </c>
    </row>
    <row r="114" spans="1:91" ht="15.6" x14ac:dyDescent="0.3">
      <c r="A114" s="29" t="s">
        <v>220</v>
      </c>
      <c r="B114" s="28" t="s">
        <v>109</v>
      </c>
      <c r="C114" s="29">
        <v>15000</v>
      </c>
      <c r="D114" s="29">
        <v>16500</v>
      </c>
      <c r="E114" s="5">
        <f>D114*[1]Rentabiliteit!$V$74</f>
        <v>16500</v>
      </c>
      <c r="F114" s="29">
        <v>16500</v>
      </c>
      <c r="G114" s="26">
        <v>98.6</v>
      </c>
      <c r="H114" s="26">
        <v>98</v>
      </c>
      <c r="I114" s="35"/>
      <c r="J114" s="29">
        <v>2</v>
      </c>
      <c r="K114" s="28" t="s">
        <v>113</v>
      </c>
      <c r="L114" s="34">
        <v>4</v>
      </c>
      <c r="M114" s="34">
        <v>4</v>
      </c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>
        <v>180</v>
      </c>
      <c r="AC114" s="29">
        <v>160</v>
      </c>
      <c r="AD114" s="31">
        <v>800</v>
      </c>
      <c r="AE114" s="29">
        <v>1100</v>
      </c>
      <c r="AF114" s="28">
        <f t="shared" si="30"/>
        <v>0</v>
      </c>
      <c r="AG114" s="29">
        <v>32</v>
      </c>
      <c r="AH114" s="29">
        <v>32</v>
      </c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8">
        <f t="shared" si="26"/>
        <v>0</v>
      </c>
      <c r="AX114" s="29">
        <v>50</v>
      </c>
      <c r="AY114" s="29">
        <v>50</v>
      </c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36" t="s">
        <v>96</v>
      </c>
      <c r="BO114" s="26">
        <v>23.8</v>
      </c>
      <c r="BP114" s="29" t="s">
        <v>171</v>
      </c>
      <c r="BQ114" s="33">
        <v>44811</v>
      </c>
      <c r="BR114" s="29"/>
      <c r="BS114" s="34">
        <f t="shared" si="31"/>
        <v>16734.279918864097</v>
      </c>
      <c r="BT114" s="37">
        <f t="shared" si="34"/>
        <v>23.815698604072065</v>
      </c>
      <c r="BU114" s="34">
        <f t="shared" si="28"/>
        <v>30000</v>
      </c>
      <c r="BV114" s="38">
        <f>BU114</f>
        <v>30000</v>
      </c>
      <c r="BW114" s="31">
        <f t="shared" si="29"/>
        <v>30000</v>
      </c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27">
        <v>0</v>
      </c>
      <c r="CM114" s="27" t="s">
        <v>216</v>
      </c>
    </row>
    <row r="115" spans="1:91" ht="15.6" x14ac:dyDescent="0.3">
      <c r="A115" s="29" t="s">
        <v>221</v>
      </c>
      <c r="B115" s="28" t="s">
        <v>109</v>
      </c>
      <c r="C115" s="29">
        <v>17000</v>
      </c>
      <c r="D115" s="29">
        <v>18700</v>
      </c>
      <c r="E115" s="28">
        <f>D115*[1]Rentabiliteit!$V$74</f>
        <v>18700</v>
      </c>
      <c r="F115" s="29">
        <v>18700</v>
      </c>
      <c r="G115" s="26">
        <v>98.6</v>
      </c>
      <c r="H115" s="26">
        <v>98</v>
      </c>
      <c r="I115" s="35"/>
      <c r="J115" s="29">
        <v>2</v>
      </c>
      <c r="K115" s="28" t="s">
        <v>113</v>
      </c>
      <c r="L115" s="34">
        <v>4</v>
      </c>
      <c r="M115" s="34">
        <v>4</v>
      </c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>
        <v>180</v>
      </c>
      <c r="AC115" s="29">
        <v>160</v>
      </c>
      <c r="AD115" s="31">
        <v>800</v>
      </c>
      <c r="AE115" s="29">
        <v>1100</v>
      </c>
      <c r="AF115" s="28">
        <f t="shared" si="30"/>
        <v>0</v>
      </c>
      <c r="AG115" s="29">
        <v>32</v>
      </c>
      <c r="AH115" s="29">
        <v>32</v>
      </c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8">
        <f t="shared" si="26"/>
        <v>0</v>
      </c>
      <c r="AX115" s="29">
        <v>50</v>
      </c>
      <c r="AY115" s="29">
        <v>50</v>
      </c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36" t="s">
        <v>96</v>
      </c>
      <c r="BO115" s="26">
        <v>27</v>
      </c>
      <c r="BP115" s="29" t="s">
        <v>171</v>
      </c>
      <c r="BQ115" s="33">
        <v>44811</v>
      </c>
      <c r="BR115" s="29"/>
      <c r="BS115" s="34">
        <f t="shared" si="31"/>
        <v>18965.517241379312</v>
      </c>
      <c r="BT115" s="37">
        <f t="shared" si="34"/>
        <v>26.991125084615007</v>
      </c>
      <c r="BU115" s="34">
        <f t="shared" si="28"/>
        <v>34000</v>
      </c>
      <c r="BV115" s="38">
        <f>BU115</f>
        <v>34000</v>
      </c>
      <c r="BW115" s="31">
        <f t="shared" si="29"/>
        <v>34000</v>
      </c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27">
        <v>0</v>
      </c>
      <c r="CM115" s="27" t="s">
        <v>216</v>
      </c>
    </row>
    <row r="116" spans="1:91" ht="15.6" x14ac:dyDescent="0.3">
      <c r="A116" s="29" t="s">
        <v>222</v>
      </c>
      <c r="B116" s="28" t="s">
        <v>109</v>
      </c>
      <c r="C116" s="29">
        <v>20000</v>
      </c>
      <c r="D116" s="29">
        <v>22000</v>
      </c>
      <c r="E116" s="28">
        <f>D116*[1]Rentabiliteit!$V$74</f>
        <v>22000</v>
      </c>
      <c r="F116" s="29">
        <v>22000</v>
      </c>
      <c r="G116" s="26">
        <v>98.6</v>
      </c>
      <c r="H116" s="26">
        <v>98</v>
      </c>
      <c r="I116" s="35"/>
      <c r="J116" s="29">
        <v>2</v>
      </c>
      <c r="K116" s="28" t="s">
        <v>113</v>
      </c>
      <c r="L116" s="34">
        <v>4</v>
      </c>
      <c r="M116" s="34">
        <v>4</v>
      </c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>
        <v>180</v>
      </c>
      <c r="AC116" s="29">
        <v>160</v>
      </c>
      <c r="AD116" s="31">
        <v>800</v>
      </c>
      <c r="AE116" s="29">
        <v>1100</v>
      </c>
      <c r="AF116" s="28">
        <f t="shared" si="30"/>
        <v>0</v>
      </c>
      <c r="AG116" s="29">
        <v>32</v>
      </c>
      <c r="AH116" s="29">
        <v>32</v>
      </c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8">
        <f t="shared" si="26"/>
        <v>0</v>
      </c>
      <c r="AX116" s="29">
        <v>50</v>
      </c>
      <c r="AY116" s="29">
        <v>50</v>
      </c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36" t="s">
        <v>96</v>
      </c>
      <c r="BO116" s="26">
        <v>31.8</v>
      </c>
      <c r="BP116" s="29" t="s">
        <v>171</v>
      </c>
      <c r="BQ116" s="33">
        <v>44811</v>
      </c>
      <c r="BR116" s="29"/>
      <c r="BS116" s="34">
        <f t="shared" si="31"/>
        <v>22312.373225152129</v>
      </c>
      <c r="BT116" s="37">
        <f t="shared" si="34"/>
        <v>31.754264805429418</v>
      </c>
      <c r="BU116" s="34">
        <f t="shared" si="28"/>
        <v>40000</v>
      </c>
      <c r="BV116" s="38">
        <f>BU116</f>
        <v>40000</v>
      </c>
      <c r="BW116" s="31">
        <f t="shared" si="29"/>
        <v>40000</v>
      </c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27">
        <v>0</v>
      </c>
      <c r="CM116" s="27" t="s">
        <v>216</v>
      </c>
    </row>
    <row r="117" spans="1:91" x14ac:dyDescent="0.3">
      <c r="A117" s="5" t="s">
        <v>122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>
        <v>9999999</v>
      </c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9"/>
    </row>
    <row r="118" spans="1:9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2"/>
    </row>
    <row r="119" spans="1:91" ht="15.6" x14ac:dyDescent="0.3">
      <c r="A119" s="1" t="s">
        <v>223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11"/>
      <c r="BS119" s="12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</row>
    <row r="120" spans="1:91" x14ac:dyDescent="0.3">
      <c r="A120" s="5" t="s">
        <v>1</v>
      </c>
      <c r="B120" s="5" t="s">
        <v>2</v>
      </c>
      <c r="C120" s="5" t="s">
        <v>3</v>
      </c>
      <c r="D120" s="5" t="s">
        <v>4</v>
      </c>
      <c r="E120" s="5" t="s">
        <v>5</v>
      </c>
      <c r="F120" s="5" t="s">
        <v>6</v>
      </c>
      <c r="G120" s="5" t="s">
        <v>7</v>
      </c>
      <c r="H120" s="5" t="s">
        <v>8</v>
      </c>
      <c r="I120" s="5" t="s">
        <v>9</v>
      </c>
      <c r="J120" s="5" t="s">
        <v>10</v>
      </c>
      <c r="K120" s="5" t="s">
        <v>11</v>
      </c>
      <c r="L120" s="5" t="s">
        <v>12</v>
      </c>
      <c r="M120" s="5" t="s">
        <v>13</v>
      </c>
      <c r="N120" s="5" t="s">
        <v>14</v>
      </c>
      <c r="O120" s="5" t="s">
        <v>15</v>
      </c>
      <c r="P120" s="5" t="s">
        <v>16</v>
      </c>
      <c r="Q120" s="5" t="s">
        <v>17</v>
      </c>
      <c r="R120" s="5" t="s">
        <v>18</v>
      </c>
      <c r="S120" s="5" t="s">
        <v>19</v>
      </c>
      <c r="T120" s="5" t="s">
        <v>20</v>
      </c>
      <c r="U120" s="5" t="s">
        <v>21</v>
      </c>
      <c r="V120" s="5" t="s">
        <v>22</v>
      </c>
      <c r="W120" s="5" t="s">
        <v>23</v>
      </c>
      <c r="X120" s="5" t="s">
        <v>24</v>
      </c>
      <c r="Y120" s="5" t="s">
        <v>25</v>
      </c>
      <c r="Z120" s="5" t="s">
        <v>26</v>
      </c>
      <c r="AA120" s="5" t="s">
        <v>27</v>
      </c>
      <c r="AB120" s="5" t="s">
        <v>28</v>
      </c>
      <c r="AC120" s="5" t="s">
        <v>29</v>
      </c>
      <c r="AD120" s="5" t="s">
        <v>30</v>
      </c>
      <c r="AE120" s="5" t="s">
        <v>31</v>
      </c>
      <c r="AF120" s="5" t="s">
        <v>32</v>
      </c>
      <c r="AG120" s="5" t="s">
        <v>33</v>
      </c>
      <c r="AH120" s="5" t="s">
        <v>34</v>
      </c>
      <c r="AI120" s="5" t="s">
        <v>35</v>
      </c>
      <c r="AJ120" s="5" t="s">
        <v>36</v>
      </c>
      <c r="AK120" s="5" t="s">
        <v>37</v>
      </c>
      <c r="AL120" s="5" t="s">
        <v>38</v>
      </c>
      <c r="AM120" s="5" t="s">
        <v>39</v>
      </c>
      <c r="AN120" s="5" t="s">
        <v>40</v>
      </c>
      <c r="AO120" s="5" t="s">
        <v>41</v>
      </c>
      <c r="AP120" s="5" t="s">
        <v>42</v>
      </c>
      <c r="AQ120" s="5" t="s">
        <v>43</v>
      </c>
      <c r="AR120" s="5" t="s">
        <v>44</v>
      </c>
      <c r="AS120" s="5" t="s">
        <v>45</v>
      </c>
      <c r="AT120" s="5" t="s">
        <v>46</v>
      </c>
      <c r="AU120" s="5" t="s">
        <v>47</v>
      </c>
      <c r="AV120" s="5" t="s">
        <v>48</v>
      </c>
      <c r="AW120" s="5" t="s">
        <v>49</v>
      </c>
      <c r="AX120" s="5" t="s">
        <v>50</v>
      </c>
      <c r="AY120" s="5" t="s">
        <v>51</v>
      </c>
      <c r="AZ120" s="5" t="s">
        <v>52</v>
      </c>
      <c r="BA120" s="5" t="s">
        <v>53</v>
      </c>
      <c r="BB120" s="5" t="s">
        <v>54</v>
      </c>
      <c r="BC120" s="5" t="s">
        <v>55</v>
      </c>
      <c r="BD120" s="5" t="s">
        <v>56</v>
      </c>
      <c r="BE120" s="5" t="s">
        <v>57</v>
      </c>
      <c r="BF120" s="5" t="s">
        <v>58</v>
      </c>
      <c r="BG120" s="5" t="s">
        <v>59</v>
      </c>
      <c r="BH120" s="5" t="s">
        <v>60</v>
      </c>
      <c r="BI120" s="5" t="s">
        <v>61</v>
      </c>
      <c r="BJ120" s="5" t="s">
        <v>62</v>
      </c>
      <c r="BK120" s="5" t="s">
        <v>63</v>
      </c>
      <c r="BL120" s="5" t="s">
        <v>64</v>
      </c>
      <c r="BM120" s="5" t="s">
        <v>65</v>
      </c>
      <c r="BN120" s="5" t="s">
        <v>66</v>
      </c>
      <c r="BO120" s="5" t="s">
        <v>67</v>
      </c>
      <c r="BP120" s="5" t="s">
        <v>68</v>
      </c>
      <c r="BQ120" s="5" t="s">
        <v>69</v>
      </c>
      <c r="BR120" s="5" t="s">
        <v>70</v>
      </c>
      <c r="BS120" s="5" t="s">
        <v>71</v>
      </c>
      <c r="BT120" s="5" t="s">
        <v>72</v>
      </c>
      <c r="BU120" s="5" t="s">
        <v>73</v>
      </c>
      <c r="BV120" s="5" t="s">
        <v>74</v>
      </c>
      <c r="BW120" s="5" t="s">
        <v>75</v>
      </c>
      <c r="BX120" s="5" t="s">
        <v>76</v>
      </c>
      <c r="BY120" s="5" t="s">
        <v>77</v>
      </c>
      <c r="BZ120" s="5" t="s">
        <v>78</v>
      </c>
      <c r="CA120" s="5" t="s">
        <v>79</v>
      </c>
      <c r="CB120" s="5" t="s">
        <v>80</v>
      </c>
      <c r="CC120" s="5" t="s">
        <v>81</v>
      </c>
      <c r="CD120" s="5" t="s">
        <v>82</v>
      </c>
      <c r="CE120" s="5" t="s">
        <v>83</v>
      </c>
      <c r="CF120" s="5" t="s">
        <v>84</v>
      </c>
      <c r="CG120" s="5" t="s">
        <v>85</v>
      </c>
      <c r="CH120" s="5" t="s">
        <v>86</v>
      </c>
      <c r="CI120" s="5" t="s">
        <v>87</v>
      </c>
      <c r="CJ120" s="5" t="s">
        <v>88</v>
      </c>
      <c r="CK120" s="5" t="s">
        <v>89</v>
      </c>
      <c r="CL120" s="5" t="s">
        <v>90</v>
      </c>
      <c r="CM120" s="5" t="s">
        <v>91</v>
      </c>
    </row>
    <row r="121" spans="1:91" x14ac:dyDescent="0.3">
      <c r="A121" s="5" t="s">
        <v>92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</row>
    <row r="122" spans="1:91" x14ac:dyDescent="0.3">
      <c r="A122" s="5" t="s">
        <v>224</v>
      </c>
      <c r="B122" s="5" t="s">
        <v>94</v>
      </c>
      <c r="C122" s="5">
        <v>3000</v>
      </c>
      <c r="D122" s="5">
        <v>3300</v>
      </c>
      <c r="E122" s="15">
        <f>D122*[1]Rentabiliteit!$V$74</f>
        <v>3300</v>
      </c>
      <c r="F122" s="5">
        <v>3300</v>
      </c>
      <c r="G122" s="6">
        <v>97.5</v>
      </c>
      <c r="H122" s="6">
        <v>96.8</v>
      </c>
      <c r="I122" s="13"/>
      <c r="J122" s="5">
        <v>2</v>
      </c>
      <c r="K122" s="5" t="s">
        <v>113</v>
      </c>
      <c r="L122" s="5">
        <v>1</v>
      </c>
      <c r="M122" s="5">
        <v>1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>
        <v>120</v>
      </c>
      <c r="AC122" s="5">
        <v>90</v>
      </c>
      <c r="AD122" s="5">
        <v>520</v>
      </c>
      <c r="AE122" s="5">
        <v>600</v>
      </c>
      <c r="AF122" s="5">
        <f t="shared" ref="AF122:AF136" si="37">IF(OR($K122=1,$L122="Yes"),SUM(AG122:AV122),0)</f>
        <v>0</v>
      </c>
      <c r="AG122" s="5">
        <v>11</v>
      </c>
      <c r="AH122" s="5">
        <v>11</v>
      </c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>
        <f t="shared" ref="AW122:AW136" si="38">IF(OR($K122=1,$L122="Yes"),SUM(AX122:BM122),0)</f>
        <v>0</v>
      </c>
      <c r="AX122" s="5">
        <v>17.2</v>
      </c>
      <c r="AY122" s="5">
        <v>17.2</v>
      </c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24" t="s">
        <v>96</v>
      </c>
      <c r="BO122" s="6">
        <v>15.7</v>
      </c>
      <c r="BP122" s="5" t="s">
        <v>97</v>
      </c>
      <c r="BQ122" s="8">
        <v>44015</v>
      </c>
      <c r="BR122" s="5"/>
      <c r="BS122" s="39">
        <f t="shared" ref="BS122:BS136" si="39">E122/(IF(I122=0,G122,I122)/100)</f>
        <v>3384.6153846153848</v>
      </c>
      <c r="BT122" s="6">
        <f>F122/230</f>
        <v>14.347826086956522</v>
      </c>
      <c r="BU122" s="9">
        <f t="shared" ref="BU122:BU136" si="40">200%*C122</f>
        <v>6000</v>
      </c>
      <c r="BV122" s="20">
        <f t="shared" ref="BV122:BW136" ca="1" si="41">$BV122</f>
        <v>6000</v>
      </c>
      <c r="BW122" s="20">
        <f t="shared" ca="1" si="41"/>
        <v>6000</v>
      </c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>
        <v>0</v>
      </c>
      <c r="CM122" s="9" t="s">
        <v>225</v>
      </c>
    </row>
    <row r="123" spans="1:91" x14ac:dyDescent="0.3">
      <c r="A123" s="5" t="s">
        <v>226</v>
      </c>
      <c r="B123" s="5" t="s">
        <v>94</v>
      </c>
      <c r="C123" s="5">
        <v>3600</v>
      </c>
      <c r="D123" s="5">
        <v>4000</v>
      </c>
      <c r="E123" s="15">
        <f>D123*[1]Rentabiliteit!$V$74</f>
        <v>4000</v>
      </c>
      <c r="F123" s="5">
        <v>4000</v>
      </c>
      <c r="G123" s="6">
        <v>97.5</v>
      </c>
      <c r="H123" s="6">
        <v>96.8</v>
      </c>
      <c r="I123" s="13"/>
      <c r="J123" s="5">
        <v>2</v>
      </c>
      <c r="K123" s="5" t="s">
        <v>113</v>
      </c>
      <c r="L123" s="5">
        <v>1</v>
      </c>
      <c r="M123" s="5">
        <v>1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>
        <v>120</v>
      </c>
      <c r="AC123" s="5">
        <v>90</v>
      </c>
      <c r="AD123" s="5">
        <v>520</v>
      </c>
      <c r="AE123" s="5">
        <v>600</v>
      </c>
      <c r="AF123" s="5">
        <f t="shared" si="37"/>
        <v>0</v>
      </c>
      <c r="AG123" s="5">
        <v>11</v>
      </c>
      <c r="AH123" s="5">
        <v>11</v>
      </c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>
        <f t="shared" si="38"/>
        <v>0</v>
      </c>
      <c r="AX123" s="5">
        <v>17.2</v>
      </c>
      <c r="AY123" s="5">
        <v>17.2</v>
      </c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24" t="s">
        <v>96</v>
      </c>
      <c r="BO123" s="6">
        <v>17.3</v>
      </c>
      <c r="BP123" s="5" t="s">
        <v>97</v>
      </c>
      <c r="BQ123" s="8">
        <v>44015</v>
      </c>
      <c r="BR123" s="5"/>
      <c r="BS123" s="39">
        <f t="shared" si="39"/>
        <v>4102.5641025641025</v>
      </c>
      <c r="BT123" s="6">
        <f>F123/230</f>
        <v>17.391304347826086</v>
      </c>
      <c r="BU123" s="9">
        <f t="shared" si="40"/>
        <v>7200</v>
      </c>
      <c r="BV123" s="20">
        <f t="shared" ca="1" si="41"/>
        <v>7200</v>
      </c>
      <c r="BW123" s="20">
        <f t="shared" ca="1" si="41"/>
        <v>7200</v>
      </c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>
        <v>0</v>
      </c>
      <c r="CM123" s="9" t="s">
        <v>225</v>
      </c>
    </row>
    <row r="124" spans="1:91" x14ac:dyDescent="0.3">
      <c r="A124" s="5" t="s">
        <v>227</v>
      </c>
      <c r="B124" s="5" t="s">
        <v>94</v>
      </c>
      <c r="C124" s="5">
        <v>4600</v>
      </c>
      <c r="D124" s="5">
        <v>4600</v>
      </c>
      <c r="E124" s="15">
        <f>D124*[1]Rentabiliteit!$V$74</f>
        <v>4600</v>
      </c>
      <c r="F124" s="5">
        <v>4600</v>
      </c>
      <c r="G124" s="6">
        <v>97.5</v>
      </c>
      <c r="H124" s="6">
        <v>96.8</v>
      </c>
      <c r="I124" s="13"/>
      <c r="J124" s="5">
        <v>2</v>
      </c>
      <c r="K124" s="5" t="s">
        <v>113</v>
      </c>
      <c r="L124" s="5">
        <v>1</v>
      </c>
      <c r="M124" s="5">
        <v>1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>
        <v>120</v>
      </c>
      <c r="AC124" s="5">
        <v>90</v>
      </c>
      <c r="AD124" s="5">
        <v>520</v>
      </c>
      <c r="AE124" s="5">
        <v>600</v>
      </c>
      <c r="AF124" s="5">
        <f t="shared" si="37"/>
        <v>0</v>
      </c>
      <c r="AG124" s="5">
        <v>11</v>
      </c>
      <c r="AH124" s="5">
        <v>11</v>
      </c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>
        <f t="shared" si="38"/>
        <v>0</v>
      </c>
      <c r="AX124" s="5">
        <v>17.2</v>
      </c>
      <c r="AY124" s="5">
        <v>17.2</v>
      </c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24" t="s">
        <v>96</v>
      </c>
      <c r="BO124" s="6">
        <v>23</v>
      </c>
      <c r="BP124" s="5" t="s">
        <v>97</v>
      </c>
      <c r="BQ124" s="8">
        <v>44015</v>
      </c>
      <c r="BR124" s="5"/>
      <c r="BS124" s="39">
        <f t="shared" si="39"/>
        <v>4717.9487179487178</v>
      </c>
      <c r="BT124" s="6">
        <f>F124/230</f>
        <v>20</v>
      </c>
      <c r="BU124" s="9">
        <f t="shared" si="40"/>
        <v>9200</v>
      </c>
      <c r="BV124" s="20">
        <f t="shared" ca="1" si="41"/>
        <v>9200</v>
      </c>
      <c r="BW124" s="20">
        <f t="shared" ca="1" si="41"/>
        <v>9200</v>
      </c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>
        <v>0</v>
      </c>
      <c r="CM124" s="9" t="s">
        <v>225</v>
      </c>
    </row>
    <row r="125" spans="1:91" x14ac:dyDescent="0.3">
      <c r="A125" s="5" t="s">
        <v>228</v>
      </c>
      <c r="B125" s="15" t="s">
        <v>109</v>
      </c>
      <c r="C125" s="5">
        <v>5000</v>
      </c>
      <c r="D125" s="5">
        <v>5000</v>
      </c>
      <c r="E125" s="15">
        <f>D125*[1]Rentabiliteit!$V$74</f>
        <v>5000</v>
      </c>
      <c r="F125" s="5">
        <v>5500</v>
      </c>
      <c r="G125" s="6">
        <v>98.4</v>
      </c>
      <c r="H125" s="6">
        <v>97.7</v>
      </c>
      <c r="I125" s="13"/>
      <c r="J125" s="5">
        <v>2</v>
      </c>
      <c r="K125" s="5" t="s">
        <v>113</v>
      </c>
      <c r="L125" s="5">
        <v>1</v>
      </c>
      <c r="M125" s="5">
        <v>1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>
        <v>160</v>
      </c>
      <c r="AC125" s="5">
        <v>200</v>
      </c>
      <c r="AD125" s="5">
        <v>850</v>
      </c>
      <c r="AE125" s="5">
        <v>1000</v>
      </c>
      <c r="AF125" s="5">
        <f t="shared" si="37"/>
        <v>0</v>
      </c>
      <c r="AG125" s="5">
        <v>13</v>
      </c>
      <c r="AH125" s="5">
        <v>13</v>
      </c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>
        <f t="shared" si="38"/>
        <v>0</v>
      </c>
      <c r="AX125" s="5">
        <v>19.5</v>
      </c>
      <c r="AY125" s="5">
        <v>19.5</v>
      </c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24" t="s">
        <v>96</v>
      </c>
      <c r="BO125" s="6">
        <v>8.4</v>
      </c>
      <c r="BP125" s="5" t="s">
        <v>133</v>
      </c>
      <c r="BQ125" s="8">
        <v>44278</v>
      </c>
      <c r="BR125" s="5"/>
      <c r="BS125" s="39">
        <f t="shared" si="39"/>
        <v>5081.3008130081298</v>
      </c>
      <c r="BT125" s="6">
        <f>F125/400/SQRT(3)</f>
        <v>7.9385662013573546</v>
      </c>
      <c r="BU125" s="9">
        <f t="shared" si="40"/>
        <v>10000</v>
      </c>
      <c r="BV125" s="20">
        <f t="shared" ca="1" si="41"/>
        <v>10000</v>
      </c>
      <c r="BW125" s="20">
        <f t="shared" ca="1" si="41"/>
        <v>10000</v>
      </c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>
        <v>0</v>
      </c>
      <c r="CM125" s="9" t="s">
        <v>229</v>
      </c>
    </row>
    <row r="126" spans="1:91" x14ac:dyDescent="0.3">
      <c r="A126" s="5" t="s">
        <v>230</v>
      </c>
      <c r="B126" s="15" t="s">
        <v>109</v>
      </c>
      <c r="C126" s="5">
        <v>6000</v>
      </c>
      <c r="D126" s="5">
        <v>6000</v>
      </c>
      <c r="E126" s="15">
        <f>D126*[1]Rentabiliteit!$V$74</f>
        <v>6000</v>
      </c>
      <c r="F126" s="5">
        <v>6600</v>
      </c>
      <c r="G126" s="6">
        <v>98.4</v>
      </c>
      <c r="H126" s="6">
        <v>97.7</v>
      </c>
      <c r="I126" s="13"/>
      <c r="J126" s="5">
        <v>2</v>
      </c>
      <c r="K126" s="5" t="s">
        <v>113</v>
      </c>
      <c r="L126" s="5">
        <v>1</v>
      </c>
      <c r="M126" s="5">
        <v>1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>
        <v>160</v>
      </c>
      <c r="AC126" s="5">
        <v>200</v>
      </c>
      <c r="AD126" s="5">
        <v>850</v>
      </c>
      <c r="AE126" s="5">
        <v>1000</v>
      </c>
      <c r="AF126" s="5">
        <f t="shared" si="37"/>
        <v>0</v>
      </c>
      <c r="AG126" s="5">
        <v>13</v>
      </c>
      <c r="AH126" s="5">
        <v>13</v>
      </c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>
        <f t="shared" si="38"/>
        <v>0</v>
      </c>
      <c r="AX126" s="5">
        <v>19.5</v>
      </c>
      <c r="AY126" s="5">
        <v>19.5</v>
      </c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24" t="s">
        <v>96</v>
      </c>
      <c r="BO126" s="6">
        <v>10</v>
      </c>
      <c r="BP126" s="5" t="s">
        <v>133</v>
      </c>
      <c r="BQ126" s="8">
        <v>44278</v>
      </c>
      <c r="BR126" s="5"/>
      <c r="BS126" s="39">
        <f t="shared" si="39"/>
        <v>6097.5609756097556</v>
      </c>
      <c r="BT126" s="6">
        <f>F126/400/SQRT(3)</f>
        <v>9.5262794416288248</v>
      </c>
      <c r="BU126" s="9">
        <f t="shared" si="40"/>
        <v>12000</v>
      </c>
      <c r="BV126" s="20">
        <f t="shared" ca="1" si="41"/>
        <v>12000</v>
      </c>
      <c r="BW126" s="20">
        <f t="shared" ca="1" si="41"/>
        <v>12000</v>
      </c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>
        <v>0</v>
      </c>
      <c r="CM126" s="9" t="s">
        <v>229</v>
      </c>
    </row>
    <row r="127" spans="1:91" x14ac:dyDescent="0.3">
      <c r="A127" s="5" t="s">
        <v>231</v>
      </c>
      <c r="B127" s="16" t="s">
        <v>109</v>
      </c>
      <c r="C127" s="5">
        <v>8000</v>
      </c>
      <c r="D127" s="5">
        <v>8000</v>
      </c>
      <c r="E127" s="15">
        <f>D127*[1]Rentabiliteit!$V$74</f>
        <v>8000</v>
      </c>
      <c r="F127" s="5">
        <v>8800</v>
      </c>
      <c r="G127" s="6">
        <v>98.4</v>
      </c>
      <c r="H127" s="6">
        <v>97.7</v>
      </c>
      <c r="I127" s="13"/>
      <c r="J127" s="5">
        <v>2</v>
      </c>
      <c r="K127" s="5" t="s">
        <v>113</v>
      </c>
      <c r="L127" s="5">
        <v>2</v>
      </c>
      <c r="M127" s="5">
        <v>1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>
        <v>160</v>
      </c>
      <c r="AC127" s="5">
        <v>200</v>
      </c>
      <c r="AD127" s="5">
        <v>850</v>
      </c>
      <c r="AE127" s="5">
        <v>1000</v>
      </c>
      <c r="AF127" s="5">
        <f t="shared" si="37"/>
        <v>0</v>
      </c>
      <c r="AG127" s="5">
        <v>26</v>
      </c>
      <c r="AH127" s="5">
        <v>13</v>
      </c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>
        <f t="shared" si="38"/>
        <v>0</v>
      </c>
      <c r="AX127" s="5">
        <v>39</v>
      </c>
      <c r="AY127" s="5">
        <v>19.5</v>
      </c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24" t="s">
        <v>96</v>
      </c>
      <c r="BO127" s="6">
        <v>13.4</v>
      </c>
      <c r="BP127" s="5" t="s">
        <v>133</v>
      </c>
      <c r="BQ127" s="8">
        <v>44278</v>
      </c>
      <c r="BR127" s="5"/>
      <c r="BS127" s="39">
        <f t="shared" si="39"/>
        <v>8130.0813008130071</v>
      </c>
      <c r="BT127" s="6">
        <f>F127/400/SQRT(3)</f>
        <v>12.701705922171767</v>
      </c>
      <c r="BU127" s="9">
        <f t="shared" si="40"/>
        <v>16000</v>
      </c>
      <c r="BV127" s="20">
        <f t="shared" ca="1" si="41"/>
        <v>16000</v>
      </c>
      <c r="BW127" s="20">
        <f t="shared" ca="1" si="41"/>
        <v>16000</v>
      </c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>
        <v>0</v>
      </c>
      <c r="CM127" s="9" t="s">
        <v>229</v>
      </c>
    </row>
    <row r="128" spans="1:91" x14ac:dyDescent="0.3">
      <c r="A128" s="5" t="s">
        <v>232</v>
      </c>
      <c r="B128" s="15" t="s">
        <v>109</v>
      </c>
      <c r="C128" s="5">
        <v>10000</v>
      </c>
      <c r="D128" s="5">
        <v>10000</v>
      </c>
      <c r="E128" s="15">
        <f>D128*[1]Rentabiliteit!$V$74</f>
        <v>10000</v>
      </c>
      <c r="F128" s="5">
        <v>10000</v>
      </c>
      <c r="G128" s="6">
        <v>98.4</v>
      </c>
      <c r="H128" s="6">
        <v>97.7</v>
      </c>
      <c r="I128" s="13"/>
      <c r="J128" s="5">
        <v>2</v>
      </c>
      <c r="K128" s="5" t="s">
        <v>113</v>
      </c>
      <c r="L128" s="5">
        <v>2</v>
      </c>
      <c r="M128" s="5">
        <v>2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>
        <v>160</v>
      </c>
      <c r="AC128" s="5">
        <v>200</v>
      </c>
      <c r="AD128" s="5">
        <v>850</v>
      </c>
      <c r="AE128" s="5">
        <v>1000</v>
      </c>
      <c r="AF128" s="5">
        <f t="shared" si="37"/>
        <v>0</v>
      </c>
      <c r="AG128" s="5">
        <v>26</v>
      </c>
      <c r="AH128" s="5">
        <v>26</v>
      </c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>
        <f t="shared" si="38"/>
        <v>0</v>
      </c>
      <c r="AX128" s="5">
        <v>39</v>
      </c>
      <c r="AY128" s="5">
        <v>39</v>
      </c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24" t="s">
        <v>96</v>
      </c>
      <c r="BO128" s="6">
        <v>16.7</v>
      </c>
      <c r="BP128" s="5" t="s">
        <v>133</v>
      </c>
      <c r="BQ128" s="8">
        <v>44278</v>
      </c>
      <c r="BR128" s="5"/>
      <c r="BS128" s="39">
        <f t="shared" si="39"/>
        <v>10162.60162601626</v>
      </c>
      <c r="BT128" s="6">
        <f>F128/400/SQRT(3)</f>
        <v>14.433756729740645</v>
      </c>
      <c r="BU128" s="9">
        <f t="shared" si="40"/>
        <v>20000</v>
      </c>
      <c r="BV128" s="20">
        <f t="shared" ca="1" si="41"/>
        <v>20000</v>
      </c>
      <c r="BW128" s="20">
        <f t="shared" ca="1" si="41"/>
        <v>20000</v>
      </c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>
        <v>0</v>
      </c>
      <c r="CM128" s="9" t="s">
        <v>229</v>
      </c>
    </row>
    <row r="129" spans="1:91" x14ac:dyDescent="0.3">
      <c r="A129" s="5" t="s">
        <v>233</v>
      </c>
      <c r="B129" s="5" t="s">
        <v>94</v>
      </c>
      <c r="C129" s="5">
        <v>3000</v>
      </c>
      <c r="D129" s="5">
        <v>3300</v>
      </c>
      <c r="E129" s="15">
        <f>D129*[1]Rentabiliteit!$V$74</f>
        <v>3300</v>
      </c>
      <c r="F129" s="5">
        <v>3300</v>
      </c>
      <c r="G129" s="6">
        <v>97.1</v>
      </c>
      <c r="H129" s="6">
        <v>96.5</v>
      </c>
      <c r="I129" s="13"/>
      <c r="J129" s="5">
        <v>2</v>
      </c>
      <c r="K129" s="5" t="s">
        <v>113</v>
      </c>
      <c r="L129" s="5">
        <v>1</v>
      </c>
      <c r="M129" s="5">
        <v>1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>
        <v>120</v>
      </c>
      <c r="AC129" s="5">
        <v>90</v>
      </c>
      <c r="AD129" s="5">
        <v>520</v>
      </c>
      <c r="AE129" s="5">
        <v>600</v>
      </c>
      <c r="AF129" s="5">
        <f t="shared" si="37"/>
        <v>0</v>
      </c>
      <c r="AG129" s="5">
        <v>15</v>
      </c>
      <c r="AH129" s="5">
        <v>15</v>
      </c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>
        <f t="shared" si="38"/>
        <v>0</v>
      </c>
      <c r="AX129" s="5">
        <v>22.5</v>
      </c>
      <c r="AY129" s="5">
        <v>22.5</v>
      </c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24" t="s">
        <v>96</v>
      </c>
      <c r="BO129" s="6">
        <v>15</v>
      </c>
      <c r="BP129" s="5" t="s">
        <v>171</v>
      </c>
      <c r="BQ129" s="8">
        <v>44979</v>
      </c>
      <c r="BR129" s="5"/>
      <c r="BS129" s="39">
        <f t="shared" si="39"/>
        <v>3398.5581874356335</v>
      </c>
      <c r="BT129" s="6">
        <f t="shared" ref="BT129:BT136" si="42">F129/230</f>
        <v>14.347826086956522</v>
      </c>
      <c r="BU129" s="9">
        <f t="shared" si="40"/>
        <v>6000</v>
      </c>
      <c r="BV129" s="20">
        <f t="shared" ca="1" si="41"/>
        <v>6000</v>
      </c>
      <c r="BW129" s="20">
        <f t="shared" ca="1" si="41"/>
        <v>6000</v>
      </c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>
        <v>0</v>
      </c>
      <c r="CM129" s="9" t="s">
        <v>225</v>
      </c>
    </row>
    <row r="130" spans="1:91" x14ac:dyDescent="0.3">
      <c r="A130" s="5" t="s">
        <v>234</v>
      </c>
      <c r="B130" s="5" t="s">
        <v>94</v>
      </c>
      <c r="C130" s="5">
        <v>3600</v>
      </c>
      <c r="D130" s="5">
        <v>4000</v>
      </c>
      <c r="E130" s="15">
        <f>D130*[1]Rentabiliteit!$V$74</f>
        <v>4000</v>
      </c>
      <c r="F130" s="5">
        <v>4000</v>
      </c>
      <c r="G130" s="6">
        <v>97.1</v>
      </c>
      <c r="H130" s="6">
        <v>96.5</v>
      </c>
      <c r="I130" s="13"/>
      <c r="J130" s="5">
        <v>2</v>
      </c>
      <c r="K130" s="5" t="s">
        <v>113</v>
      </c>
      <c r="L130" s="5">
        <v>1</v>
      </c>
      <c r="M130" s="5">
        <v>1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>
        <v>120</v>
      </c>
      <c r="AC130" s="5">
        <v>90</v>
      </c>
      <c r="AD130" s="5">
        <v>520</v>
      </c>
      <c r="AE130" s="5">
        <v>600</v>
      </c>
      <c r="AF130" s="5">
        <f t="shared" si="37"/>
        <v>0</v>
      </c>
      <c r="AG130" s="5">
        <v>15</v>
      </c>
      <c r="AH130" s="5">
        <v>15</v>
      </c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>
        <f t="shared" si="38"/>
        <v>0</v>
      </c>
      <c r="AX130" s="5">
        <v>22.5</v>
      </c>
      <c r="AY130" s="5">
        <v>22.5</v>
      </c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24" t="s">
        <v>96</v>
      </c>
      <c r="BO130" s="6">
        <v>18.5</v>
      </c>
      <c r="BP130" s="5" t="s">
        <v>171</v>
      </c>
      <c r="BQ130" s="8">
        <v>44979</v>
      </c>
      <c r="BR130" s="5"/>
      <c r="BS130" s="39">
        <f t="shared" si="39"/>
        <v>4119.4644696189498</v>
      </c>
      <c r="BT130" s="6">
        <f t="shared" si="42"/>
        <v>17.391304347826086</v>
      </c>
      <c r="BU130" s="9">
        <f t="shared" si="40"/>
        <v>7200</v>
      </c>
      <c r="BV130" s="20">
        <f t="shared" ca="1" si="41"/>
        <v>7200</v>
      </c>
      <c r="BW130" s="20">
        <f t="shared" ca="1" si="41"/>
        <v>7200</v>
      </c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>
        <v>0</v>
      </c>
      <c r="CM130" s="9" t="s">
        <v>225</v>
      </c>
    </row>
    <row r="131" spans="1:91" x14ac:dyDescent="0.3">
      <c r="A131" s="5" t="s">
        <v>235</v>
      </c>
      <c r="B131" s="5" t="s">
        <v>94</v>
      </c>
      <c r="C131" s="5">
        <v>4600</v>
      </c>
      <c r="D131" s="5">
        <v>4600</v>
      </c>
      <c r="E131" s="15">
        <f>D131*[1]Rentabiliteit!$V$74</f>
        <v>4600</v>
      </c>
      <c r="F131" s="5">
        <v>4600</v>
      </c>
      <c r="G131" s="6">
        <v>97.1</v>
      </c>
      <c r="H131" s="6">
        <v>96.5</v>
      </c>
      <c r="I131" s="13"/>
      <c r="J131" s="5">
        <v>2</v>
      </c>
      <c r="K131" s="5" t="s">
        <v>113</v>
      </c>
      <c r="L131" s="5">
        <v>1</v>
      </c>
      <c r="M131" s="5">
        <v>1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>
        <v>120</v>
      </c>
      <c r="AC131" s="5">
        <v>90</v>
      </c>
      <c r="AD131" s="5">
        <v>520</v>
      </c>
      <c r="AE131" s="5">
        <v>600</v>
      </c>
      <c r="AF131" s="5">
        <f t="shared" si="37"/>
        <v>0</v>
      </c>
      <c r="AG131" s="5">
        <v>15</v>
      </c>
      <c r="AH131" s="5">
        <v>15</v>
      </c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>
        <f t="shared" si="38"/>
        <v>0</v>
      </c>
      <c r="AX131" s="5">
        <v>22.5</v>
      </c>
      <c r="AY131" s="5">
        <v>22.5</v>
      </c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24" t="s">
        <v>96</v>
      </c>
      <c r="BO131" s="6">
        <v>21</v>
      </c>
      <c r="BP131" s="5" t="s">
        <v>171</v>
      </c>
      <c r="BQ131" s="8">
        <v>44979</v>
      </c>
      <c r="BR131" s="5"/>
      <c r="BS131" s="39">
        <f t="shared" si="39"/>
        <v>4737.3841400617921</v>
      </c>
      <c r="BT131" s="6">
        <f t="shared" si="42"/>
        <v>20</v>
      </c>
      <c r="BU131" s="9">
        <f t="shared" si="40"/>
        <v>9200</v>
      </c>
      <c r="BV131" s="20">
        <f t="shared" ca="1" si="41"/>
        <v>9200</v>
      </c>
      <c r="BW131" s="20">
        <f t="shared" ca="1" si="41"/>
        <v>9200</v>
      </c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>
        <v>0</v>
      </c>
      <c r="CM131" s="9" t="s">
        <v>225</v>
      </c>
    </row>
    <row r="132" spans="1:91" x14ac:dyDescent="0.3">
      <c r="A132" s="5" t="s">
        <v>236</v>
      </c>
      <c r="B132" s="5" t="s">
        <v>94</v>
      </c>
      <c r="C132" s="5">
        <v>5000</v>
      </c>
      <c r="D132" s="5">
        <v>5000</v>
      </c>
      <c r="E132" s="15">
        <f>D132*[1]Rentabiliteit!$V$74</f>
        <v>5000</v>
      </c>
      <c r="F132" s="5">
        <v>5000</v>
      </c>
      <c r="G132" s="6">
        <v>97.1</v>
      </c>
      <c r="H132" s="6">
        <v>96.5</v>
      </c>
      <c r="I132" s="13"/>
      <c r="J132" s="5">
        <v>2</v>
      </c>
      <c r="K132" s="5" t="s">
        <v>113</v>
      </c>
      <c r="L132" s="5">
        <v>1</v>
      </c>
      <c r="M132" s="5">
        <v>1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>
        <v>120</v>
      </c>
      <c r="AC132" s="5">
        <v>90</v>
      </c>
      <c r="AD132" s="5">
        <v>520</v>
      </c>
      <c r="AE132" s="5">
        <v>600</v>
      </c>
      <c r="AF132" s="5">
        <f t="shared" si="37"/>
        <v>0</v>
      </c>
      <c r="AG132" s="5">
        <v>15</v>
      </c>
      <c r="AH132" s="5">
        <v>15</v>
      </c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>
        <f t="shared" si="38"/>
        <v>0</v>
      </c>
      <c r="AX132" s="5">
        <v>22.5</v>
      </c>
      <c r="AY132" s="5">
        <v>22.5</v>
      </c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24" t="s">
        <v>96</v>
      </c>
      <c r="BO132" s="6">
        <v>25</v>
      </c>
      <c r="BP132" s="5" t="s">
        <v>171</v>
      </c>
      <c r="BQ132" s="8">
        <v>44979</v>
      </c>
      <c r="BR132" s="5"/>
      <c r="BS132" s="39">
        <f t="shared" si="39"/>
        <v>5149.3305870236873</v>
      </c>
      <c r="BT132" s="6">
        <f t="shared" si="42"/>
        <v>21.739130434782609</v>
      </c>
      <c r="BU132" s="9">
        <f t="shared" si="40"/>
        <v>10000</v>
      </c>
      <c r="BV132" s="20">
        <f t="shared" ca="1" si="41"/>
        <v>10000</v>
      </c>
      <c r="BW132" s="20">
        <f t="shared" ca="1" si="41"/>
        <v>10000</v>
      </c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>
        <v>0</v>
      </c>
      <c r="CM132" s="9" t="s">
        <v>225</v>
      </c>
    </row>
    <row r="133" spans="1:91" ht="15.6" x14ac:dyDescent="0.3">
      <c r="A133" s="5" t="s">
        <v>237</v>
      </c>
      <c r="B133" s="5" t="s">
        <v>94</v>
      </c>
      <c r="C133" s="5">
        <v>3000</v>
      </c>
      <c r="D133" s="5">
        <v>3300</v>
      </c>
      <c r="E133" s="15">
        <f>D133*[1]Rentabiliteit!$V$74</f>
        <v>3300</v>
      </c>
      <c r="F133" s="5">
        <v>3300</v>
      </c>
      <c r="G133" s="6">
        <v>97.1</v>
      </c>
      <c r="H133" s="6">
        <v>96.5</v>
      </c>
      <c r="I133" s="13"/>
      <c r="J133" s="5">
        <v>2</v>
      </c>
      <c r="K133" s="5" t="s">
        <v>113</v>
      </c>
      <c r="L133" s="5">
        <v>1</v>
      </c>
      <c r="M133" s="5">
        <v>1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>
        <v>90</v>
      </c>
      <c r="AC133" s="5">
        <v>90</v>
      </c>
      <c r="AD133" s="5">
        <v>520</v>
      </c>
      <c r="AE133" s="5">
        <v>550</v>
      </c>
      <c r="AF133" s="5">
        <f t="shared" si="37"/>
        <v>0</v>
      </c>
      <c r="AG133" s="5">
        <v>16</v>
      </c>
      <c r="AH133" s="5">
        <v>16</v>
      </c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>
        <f t="shared" si="38"/>
        <v>0</v>
      </c>
      <c r="AX133" s="5">
        <v>24</v>
      </c>
      <c r="AY133" s="5">
        <v>24</v>
      </c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24" t="s">
        <v>96</v>
      </c>
      <c r="BO133" s="6">
        <v>15</v>
      </c>
      <c r="BP133" s="5" t="s">
        <v>171</v>
      </c>
      <c r="BQ133" s="8">
        <v>44979</v>
      </c>
      <c r="BR133" s="5"/>
      <c r="BS133" s="39">
        <f t="shared" si="39"/>
        <v>3398.5581874356335</v>
      </c>
      <c r="BT133" s="6">
        <f t="shared" si="42"/>
        <v>14.347826086956522</v>
      </c>
      <c r="BU133" s="9">
        <f t="shared" si="40"/>
        <v>6000</v>
      </c>
      <c r="BV133" s="20">
        <f t="shared" ca="1" si="41"/>
        <v>6000</v>
      </c>
      <c r="BW133" s="20">
        <f t="shared" ca="1" si="41"/>
        <v>6000</v>
      </c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>
        <v>0</v>
      </c>
      <c r="CM133" s="40" t="s">
        <v>238</v>
      </c>
    </row>
    <row r="134" spans="1:91" ht="15.6" x14ac:dyDescent="0.3">
      <c r="A134" s="5" t="s">
        <v>239</v>
      </c>
      <c r="B134" s="5" t="s">
        <v>94</v>
      </c>
      <c r="C134" s="5">
        <v>3600</v>
      </c>
      <c r="D134" s="5">
        <v>4000</v>
      </c>
      <c r="E134" s="15">
        <f>D134*[1]Rentabiliteit!$V$74</f>
        <v>4000</v>
      </c>
      <c r="F134" s="5">
        <v>4000</v>
      </c>
      <c r="G134" s="6">
        <v>97.1</v>
      </c>
      <c r="H134" s="6">
        <v>96.5</v>
      </c>
      <c r="I134" s="13"/>
      <c r="J134" s="5">
        <v>2</v>
      </c>
      <c r="K134" s="5" t="s">
        <v>113</v>
      </c>
      <c r="L134" s="5">
        <v>1</v>
      </c>
      <c r="M134" s="5">
        <v>1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>
        <v>90</v>
      </c>
      <c r="AC134" s="5">
        <v>90</v>
      </c>
      <c r="AD134" s="5">
        <v>520</v>
      </c>
      <c r="AE134" s="5">
        <v>550</v>
      </c>
      <c r="AF134" s="5">
        <f t="shared" si="37"/>
        <v>0</v>
      </c>
      <c r="AG134" s="5">
        <v>16</v>
      </c>
      <c r="AH134" s="5">
        <v>16</v>
      </c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>
        <f t="shared" si="38"/>
        <v>0</v>
      </c>
      <c r="AX134" s="5">
        <v>24</v>
      </c>
      <c r="AY134" s="5">
        <v>24</v>
      </c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24" t="s">
        <v>96</v>
      </c>
      <c r="BO134" s="6">
        <v>18.2</v>
      </c>
      <c r="BP134" s="5" t="s">
        <v>171</v>
      </c>
      <c r="BQ134" s="8">
        <v>44979</v>
      </c>
      <c r="BR134" s="5"/>
      <c r="BS134" s="39">
        <f t="shared" si="39"/>
        <v>4119.4644696189498</v>
      </c>
      <c r="BT134" s="6">
        <f t="shared" si="42"/>
        <v>17.391304347826086</v>
      </c>
      <c r="BU134" s="9">
        <f t="shared" si="40"/>
        <v>7200</v>
      </c>
      <c r="BV134" s="20">
        <f t="shared" ca="1" si="41"/>
        <v>7200</v>
      </c>
      <c r="BW134" s="20">
        <f t="shared" ca="1" si="41"/>
        <v>7200</v>
      </c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>
        <v>0</v>
      </c>
      <c r="CM134" s="40" t="s">
        <v>238</v>
      </c>
    </row>
    <row r="135" spans="1:91" ht="15.6" x14ac:dyDescent="0.3">
      <c r="A135" s="5" t="s">
        <v>240</v>
      </c>
      <c r="B135" s="5" t="s">
        <v>94</v>
      </c>
      <c r="C135" s="5">
        <v>4600</v>
      </c>
      <c r="D135" s="5">
        <v>4600</v>
      </c>
      <c r="E135" s="15">
        <f>D135*[1]Rentabiliteit!$V$74</f>
        <v>4600</v>
      </c>
      <c r="F135" s="5">
        <v>4600</v>
      </c>
      <c r="G135" s="6">
        <v>97.1</v>
      </c>
      <c r="H135" s="6">
        <v>96.5</v>
      </c>
      <c r="I135" s="13"/>
      <c r="J135" s="5">
        <v>2</v>
      </c>
      <c r="K135" s="5" t="s">
        <v>113</v>
      </c>
      <c r="L135" s="5">
        <v>1</v>
      </c>
      <c r="M135" s="5">
        <v>1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>
        <v>90</v>
      </c>
      <c r="AC135" s="5">
        <v>90</v>
      </c>
      <c r="AD135" s="5">
        <v>520</v>
      </c>
      <c r="AE135" s="5">
        <v>550</v>
      </c>
      <c r="AF135" s="5">
        <f t="shared" si="37"/>
        <v>0</v>
      </c>
      <c r="AG135" s="5">
        <v>16</v>
      </c>
      <c r="AH135" s="5">
        <v>16</v>
      </c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>
        <f t="shared" si="38"/>
        <v>0</v>
      </c>
      <c r="AX135" s="5">
        <v>24</v>
      </c>
      <c r="AY135" s="5">
        <v>24</v>
      </c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24" t="s">
        <v>96</v>
      </c>
      <c r="BO135" s="6">
        <v>21</v>
      </c>
      <c r="BP135" s="5" t="s">
        <v>171</v>
      </c>
      <c r="BQ135" s="8">
        <v>44979</v>
      </c>
      <c r="BR135" s="5"/>
      <c r="BS135" s="39">
        <f t="shared" si="39"/>
        <v>4737.3841400617921</v>
      </c>
      <c r="BT135" s="6">
        <f t="shared" si="42"/>
        <v>20</v>
      </c>
      <c r="BU135" s="9">
        <f t="shared" si="40"/>
        <v>9200</v>
      </c>
      <c r="BV135" s="20">
        <f t="shared" ca="1" si="41"/>
        <v>9200</v>
      </c>
      <c r="BW135" s="20">
        <f t="shared" ca="1" si="41"/>
        <v>9200</v>
      </c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>
        <v>0</v>
      </c>
      <c r="CM135" s="40" t="s">
        <v>238</v>
      </c>
    </row>
    <row r="136" spans="1:91" ht="15.6" x14ac:dyDescent="0.3">
      <c r="A136" s="5" t="s">
        <v>241</v>
      </c>
      <c r="B136" s="5" t="s">
        <v>94</v>
      </c>
      <c r="C136" s="5">
        <v>5000</v>
      </c>
      <c r="D136" s="5">
        <v>5000</v>
      </c>
      <c r="E136" s="15">
        <f>D136*[1]Rentabiliteit!$V$74</f>
        <v>5000</v>
      </c>
      <c r="F136" s="5">
        <v>5000</v>
      </c>
      <c r="G136" s="6">
        <v>97.1</v>
      </c>
      <c r="H136" s="6">
        <v>96.5</v>
      </c>
      <c r="I136" s="13"/>
      <c r="J136" s="5">
        <v>2</v>
      </c>
      <c r="K136" s="5" t="s">
        <v>113</v>
      </c>
      <c r="L136" s="5">
        <v>1</v>
      </c>
      <c r="M136" s="5">
        <v>1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>
        <v>90</v>
      </c>
      <c r="AC136" s="5">
        <v>90</v>
      </c>
      <c r="AD136" s="5">
        <v>520</v>
      </c>
      <c r="AE136" s="5">
        <v>550</v>
      </c>
      <c r="AF136" s="5">
        <f t="shared" si="37"/>
        <v>0</v>
      </c>
      <c r="AG136" s="5">
        <v>16</v>
      </c>
      <c r="AH136" s="5">
        <v>16</v>
      </c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>
        <f t="shared" si="38"/>
        <v>0</v>
      </c>
      <c r="AX136" s="5">
        <v>24</v>
      </c>
      <c r="AY136" s="5">
        <v>24</v>
      </c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24" t="s">
        <v>96</v>
      </c>
      <c r="BO136" s="6">
        <v>25</v>
      </c>
      <c r="BP136" s="5" t="s">
        <v>171</v>
      </c>
      <c r="BQ136" s="8">
        <v>44979</v>
      </c>
      <c r="BR136" s="5"/>
      <c r="BS136" s="39">
        <f t="shared" si="39"/>
        <v>5149.3305870236873</v>
      </c>
      <c r="BT136" s="6">
        <f t="shared" si="42"/>
        <v>21.739130434782609</v>
      </c>
      <c r="BU136" s="9">
        <f t="shared" si="40"/>
        <v>10000</v>
      </c>
      <c r="BV136" s="20">
        <f t="shared" ca="1" si="41"/>
        <v>10000</v>
      </c>
      <c r="BW136" s="20">
        <f t="shared" ca="1" si="41"/>
        <v>10000</v>
      </c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>
        <v>0</v>
      </c>
      <c r="CM136" s="40" t="s">
        <v>238</v>
      </c>
    </row>
    <row r="137" spans="1:91" x14ac:dyDescent="0.3">
      <c r="A137" s="5" t="s">
        <v>122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>
        <v>9999999</v>
      </c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9"/>
    </row>
    <row r="138" spans="1:9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2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12"/>
    </row>
    <row r="139" spans="1:91" ht="15.6" x14ac:dyDescent="0.3">
      <c r="A139" s="1" t="s">
        <v>242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11"/>
      <c r="BS139" s="12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</row>
    <row r="140" spans="1:91" x14ac:dyDescent="0.3">
      <c r="A140" s="5" t="s">
        <v>1</v>
      </c>
      <c r="B140" s="5" t="s">
        <v>2</v>
      </c>
      <c r="C140" s="5" t="s">
        <v>3</v>
      </c>
      <c r="D140" s="5" t="s">
        <v>4</v>
      </c>
      <c r="E140" s="5" t="s">
        <v>5</v>
      </c>
      <c r="F140" s="5" t="s">
        <v>6</v>
      </c>
      <c r="G140" s="5" t="s">
        <v>7</v>
      </c>
      <c r="H140" s="5" t="s">
        <v>8</v>
      </c>
      <c r="I140" s="5" t="s">
        <v>9</v>
      </c>
      <c r="J140" s="5" t="s">
        <v>10</v>
      </c>
      <c r="K140" s="5" t="s">
        <v>11</v>
      </c>
      <c r="L140" s="5" t="s">
        <v>12</v>
      </c>
      <c r="M140" s="5" t="s">
        <v>13</v>
      </c>
      <c r="N140" s="5" t="s">
        <v>14</v>
      </c>
      <c r="O140" s="5" t="s">
        <v>15</v>
      </c>
      <c r="P140" s="5" t="s">
        <v>16</v>
      </c>
      <c r="Q140" s="5" t="s">
        <v>17</v>
      </c>
      <c r="R140" s="5" t="s">
        <v>18</v>
      </c>
      <c r="S140" s="5" t="s">
        <v>19</v>
      </c>
      <c r="T140" s="5" t="s">
        <v>20</v>
      </c>
      <c r="U140" s="5" t="s">
        <v>21</v>
      </c>
      <c r="V140" s="5" t="s">
        <v>22</v>
      </c>
      <c r="W140" s="5" t="s">
        <v>23</v>
      </c>
      <c r="X140" s="5" t="s">
        <v>24</v>
      </c>
      <c r="Y140" s="5" t="s">
        <v>25</v>
      </c>
      <c r="Z140" s="5" t="s">
        <v>26</v>
      </c>
      <c r="AA140" s="5" t="s">
        <v>27</v>
      </c>
      <c r="AB140" s="5" t="s">
        <v>28</v>
      </c>
      <c r="AC140" s="5" t="s">
        <v>29</v>
      </c>
      <c r="AD140" s="5" t="s">
        <v>30</v>
      </c>
      <c r="AE140" s="5" t="s">
        <v>31</v>
      </c>
      <c r="AF140" s="5" t="s">
        <v>32</v>
      </c>
      <c r="AG140" s="5" t="s">
        <v>33</v>
      </c>
      <c r="AH140" s="5" t="s">
        <v>34</v>
      </c>
      <c r="AI140" s="5" t="s">
        <v>35</v>
      </c>
      <c r="AJ140" s="5" t="s">
        <v>36</v>
      </c>
      <c r="AK140" s="5" t="s">
        <v>37</v>
      </c>
      <c r="AL140" s="5" t="s">
        <v>38</v>
      </c>
      <c r="AM140" s="5" t="s">
        <v>39</v>
      </c>
      <c r="AN140" s="5" t="s">
        <v>40</v>
      </c>
      <c r="AO140" s="5" t="s">
        <v>41</v>
      </c>
      <c r="AP140" s="5" t="s">
        <v>42</v>
      </c>
      <c r="AQ140" s="5" t="s">
        <v>43</v>
      </c>
      <c r="AR140" s="5" t="s">
        <v>44</v>
      </c>
      <c r="AS140" s="5" t="s">
        <v>45</v>
      </c>
      <c r="AT140" s="5" t="s">
        <v>46</v>
      </c>
      <c r="AU140" s="5" t="s">
        <v>47</v>
      </c>
      <c r="AV140" s="5" t="s">
        <v>48</v>
      </c>
      <c r="AW140" s="5" t="s">
        <v>49</v>
      </c>
      <c r="AX140" s="5" t="s">
        <v>50</v>
      </c>
      <c r="AY140" s="5" t="s">
        <v>51</v>
      </c>
      <c r="AZ140" s="5" t="s">
        <v>52</v>
      </c>
      <c r="BA140" s="5" t="s">
        <v>53</v>
      </c>
      <c r="BB140" s="5" t="s">
        <v>54</v>
      </c>
      <c r="BC140" s="5" t="s">
        <v>55</v>
      </c>
      <c r="BD140" s="5" t="s">
        <v>56</v>
      </c>
      <c r="BE140" s="5" t="s">
        <v>57</v>
      </c>
      <c r="BF140" s="5" t="s">
        <v>58</v>
      </c>
      <c r="BG140" s="5" t="s">
        <v>59</v>
      </c>
      <c r="BH140" s="5" t="s">
        <v>60</v>
      </c>
      <c r="BI140" s="5" t="s">
        <v>61</v>
      </c>
      <c r="BJ140" s="5" t="s">
        <v>62</v>
      </c>
      <c r="BK140" s="5" t="s">
        <v>63</v>
      </c>
      <c r="BL140" s="5" t="s">
        <v>64</v>
      </c>
      <c r="BM140" s="5" t="s">
        <v>65</v>
      </c>
      <c r="BN140" s="5" t="s">
        <v>66</v>
      </c>
      <c r="BO140" s="5" t="s">
        <v>67</v>
      </c>
      <c r="BP140" s="5" t="s">
        <v>68</v>
      </c>
      <c r="BQ140" s="5" t="s">
        <v>69</v>
      </c>
      <c r="BR140" s="5" t="s">
        <v>70</v>
      </c>
      <c r="BS140" s="5" t="s">
        <v>71</v>
      </c>
      <c r="BT140" s="5" t="s">
        <v>72</v>
      </c>
      <c r="BU140" s="5" t="s">
        <v>73</v>
      </c>
      <c r="BV140" s="5" t="s">
        <v>74</v>
      </c>
      <c r="BW140" s="5" t="s">
        <v>75</v>
      </c>
      <c r="BX140" s="5" t="s">
        <v>76</v>
      </c>
      <c r="BY140" s="5" t="s">
        <v>77</v>
      </c>
      <c r="BZ140" s="5" t="s">
        <v>78</v>
      </c>
      <c r="CA140" s="5" t="s">
        <v>79</v>
      </c>
      <c r="CB140" s="5" t="s">
        <v>80</v>
      </c>
      <c r="CC140" s="5" t="s">
        <v>81</v>
      </c>
      <c r="CD140" s="5" t="s">
        <v>82</v>
      </c>
      <c r="CE140" s="5" t="s">
        <v>83</v>
      </c>
      <c r="CF140" s="5" t="s">
        <v>84</v>
      </c>
      <c r="CG140" s="5" t="s">
        <v>85</v>
      </c>
      <c r="CH140" s="5" t="s">
        <v>86</v>
      </c>
      <c r="CI140" s="5" t="s">
        <v>87</v>
      </c>
      <c r="CJ140" s="5" t="s">
        <v>88</v>
      </c>
      <c r="CK140" s="5" t="s">
        <v>89</v>
      </c>
      <c r="CL140" s="5" t="s">
        <v>90</v>
      </c>
      <c r="CM140" s="5" t="s">
        <v>91</v>
      </c>
    </row>
    <row r="141" spans="1:91" x14ac:dyDescent="0.3">
      <c r="A141" s="5" t="s">
        <v>92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</row>
    <row r="142" spans="1:91" x14ac:dyDescent="0.3">
      <c r="A142" s="5" t="s">
        <v>243</v>
      </c>
      <c r="B142" s="5" t="s">
        <v>94</v>
      </c>
      <c r="C142" s="5">
        <v>2000</v>
      </c>
      <c r="D142" s="5">
        <v>2200</v>
      </c>
      <c r="E142" s="5">
        <f>D142*[1]Rentabiliteit!$V$74</f>
        <v>2200</v>
      </c>
      <c r="F142" s="5">
        <v>2200</v>
      </c>
      <c r="G142" s="6">
        <v>98.4</v>
      </c>
      <c r="H142" s="6">
        <v>97</v>
      </c>
      <c r="I142" s="13">
        <v>98.2</v>
      </c>
      <c r="J142" s="5">
        <v>2</v>
      </c>
      <c r="K142" s="5" t="s">
        <v>113</v>
      </c>
      <c r="L142" s="5">
        <v>1</v>
      </c>
      <c r="M142" s="5">
        <v>1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>
        <v>120</v>
      </c>
      <c r="AC142" s="5">
        <v>90</v>
      </c>
      <c r="AD142" s="5">
        <v>480</v>
      </c>
      <c r="AE142" s="5">
        <f>IF([1]Rentabiliteit!$M$33="nee",$CT142,$CU142)</f>
        <v>0</v>
      </c>
      <c r="AF142" s="5">
        <f t="shared" ref="AF142:AF163" si="43">IF(OR($K142=1,$L142="Yes"),SUM(AG142:AV142),0)</f>
        <v>0</v>
      </c>
      <c r="AG142" s="5">
        <v>11</v>
      </c>
      <c r="AH142" s="5">
        <v>11</v>
      </c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>
        <f t="shared" ref="AW142:AW163" si="44">IF(OR($K142=1,$L142="Yes"),SUM(AX142:BM142),0)</f>
        <v>0</v>
      </c>
      <c r="AX142" s="5">
        <v>15</v>
      </c>
      <c r="AY142" s="5">
        <v>15</v>
      </c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41" t="s">
        <v>96</v>
      </c>
      <c r="BO142" s="6">
        <v>10</v>
      </c>
      <c r="BP142" s="5" t="s">
        <v>97</v>
      </c>
      <c r="BQ142" s="8">
        <v>43930</v>
      </c>
      <c r="BR142" s="5"/>
      <c r="BS142" s="9">
        <f t="shared" ref="BS142:BS163" si="45">E142/(IF(I142=0,G142,I142)/100)</f>
        <v>2240.325865580448</v>
      </c>
      <c r="BT142" s="6">
        <f t="shared" ref="BT142:BT147" si="46">F142/230</f>
        <v>9.5652173913043477</v>
      </c>
      <c r="BU142" s="14">
        <v>99999999</v>
      </c>
      <c r="BV142" s="10">
        <v>99999999</v>
      </c>
      <c r="BW142" s="10">
        <v>99999999</v>
      </c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>
        <v>0</v>
      </c>
      <c r="CM142" s="9" t="s">
        <v>134</v>
      </c>
    </row>
    <row r="143" spans="1:91" x14ac:dyDescent="0.3">
      <c r="A143" s="5" t="s">
        <v>244</v>
      </c>
      <c r="B143" s="5" t="s">
        <v>94</v>
      </c>
      <c r="C143" s="5">
        <v>3000</v>
      </c>
      <c r="D143" s="5">
        <v>3300</v>
      </c>
      <c r="E143" s="5">
        <f>D143*[1]Rentabiliteit!$V$74</f>
        <v>3300</v>
      </c>
      <c r="F143" s="5">
        <v>3300</v>
      </c>
      <c r="G143" s="6">
        <v>98.5</v>
      </c>
      <c r="H143" s="6">
        <v>97.6</v>
      </c>
      <c r="I143" s="13">
        <v>98.3</v>
      </c>
      <c r="J143" s="5">
        <v>2</v>
      </c>
      <c r="K143" s="5" t="s">
        <v>113</v>
      </c>
      <c r="L143" s="5">
        <v>1</v>
      </c>
      <c r="M143" s="5">
        <v>1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>
        <v>120</v>
      </c>
      <c r="AC143" s="5">
        <v>90</v>
      </c>
      <c r="AD143" s="5">
        <v>480</v>
      </c>
      <c r="AE143" s="5">
        <f>IF([1]Rentabiliteit!$M$33="nee",$CT143,$CU143)</f>
        <v>0</v>
      </c>
      <c r="AF143" s="5">
        <f t="shared" si="43"/>
        <v>0</v>
      </c>
      <c r="AG143" s="5">
        <v>11</v>
      </c>
      <c r="AH143" s="5">
        <v>11</v>
      </c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>
        <f t="shared" si="44"/>
        <v>0</v>
      </c>
      <c r="AX143" s="5">
        <v>15</v>
      </c>
      <c r="AY143" s="5">
        <v>15</v>
      </c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41" t="s">
        <v>96</v>
      </c>
      <c r="BO143" s="6">
        <v>15</v>
      </c>
      <c r="BP143" s="5" t="s">
        <v>97</v>
      </c>
      <c r="BQ143" s="8">
        <v>43930</v>
      </c>
      <c r="BR143" s="5"/>
      <c r="BS143" s="9">
        <f t="shared" si="45"/>
        <v>3357.0701932858597</v>
      </c>
      <c r="BT143" s="6">
        <f t="shared" si="46"/>
        <v>14.347826086956522</v>
      </c>
      <c r="BU143" s="14">
        <v>99999999</v>
      </c>
      <c r="BV143" s="10">
        <v>99999999</v>
      </c>
      <c r="BW143" s="10">
        <v>99999999</v>
      </c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>
        <v>0</v>
      </c>
      <c r="CM143" s="9" t="s">
        <v>134</v>
      </c>
    </row>
    <row r="144" spans="1:91" x14ac:dyDescent="0.3">
      <c r="A144" s="5" t="s">
        <v>245</v>
      </c>
      <c r="B144" s="5" t="s">
        <v>94</v>
      </c>
      <c r="C144" s="5">
        <v>3680</v>
      </c>
      <c r="D144" s="5">
        <v>3680</v>
      </c>
      <c r="E144" s="5">
        <f>D144*[1]Rentabiliteit!$V$74</f>
        <v>3680</v>
      </c>
      <c r="F144" s="5">
        <v>3680</v>
      </c>
      <c r="G144" s="6">
        <v>98.5</v>
      </c>
      <c r="H144" s="6">
        <v>97.8</v>
      </c>
      <c r="I144" s="13">
        <v>98.3</v>
      </c>
      <c r="J144" s="5">
        <v>2</v>
      </c>
      <c r="K144" s="5" t="s">
        <v>113</v>
      </c>
      <c r="L144" s="5">
        <v>1</v>
      </c>
      <c r="M144" s="5">
        <v>1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>
        <v>120</v>
      </c>
      <c r="AC144" s="5">
        <v>90</v>
      </c>
      <c r="AD144" s="5">
        <v>480</v>
      </c>
      <c r="AE144" s="5">
        <f>IF([1]Rentabiliteit!$M$33="nee",$CT144,$CU144)</f>
        <v>0</v>
      </c>
      <c r="AF144" s="5">
        <f t="shared" si="43"/>
        <v>0</v>
      </c>
      <c r="AG144" s="5">
        <v>11</v>
      </c>
      <c r="AH144" s="5">
        <v>11</v>
      </c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>
        <f t="shared" si="44"/>
        <v>0</v>
      </c>
      <c r="AX144" s="5">
        <v>15</v>
      </c>
      <c r="AY144" s="5">
        <v>15</v>
      </c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41" t="s">
        <v>96</v>
      </c>
      <c r="BO144" s="6">
        <v>16</v>
      </c>
      <c r="BP144" s="5" t="s">
        <v>97</v>
      </c>
      <c r="BQ144" s="8">
        <v>43930</v>
      </c>
      <c r="BR144" s="5"/>
      <c r="BS144" s="9">
        <f t="shared" si="45"/>
        <v>3743.6419125127163</v>
      </c>
      <c r="BT144" s="6">
        <f t="shared" si="46"/>
        <v>16</v>
      </c>
      <c r="BU144" s="14">
        <v>99999999</v>
      </c>
      <c r="BV144" s="10">
        <v>99999999</v>
      </c>
      <c r="BW144" s="10">
        <v>99999999</v>
      </c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>
        <v>0</v>
      </c>
      <c r="CM144" s="9" t="s">
        <v>134</v>
      </c>
    </row>
    <row r="145" spans="1:91" x14ac:dyDescent="0.3">
      <c r="A145" s="5" t="s">
        <v>246</v>
      </c>
      <c r="B145" s="5" t="s">
        <v>94</v>
      </c>
      <c r="C145" s="5">
        <v>4000</v>
      </c>
      <c r="D145" s="5">
        <v>4400</v>
      </c>
      <c r="E145" s="5">
        <f>D145*[1]Rentabiliteit!$V$74</f>
        <v>4400</v>
      </c>
      <c r="F145" s="5">
        <v>4400</v>
      </c>
      <c r="G145" s="6">
        <v>98.6</v>
      </c>
      <c r="H145" s="6">
        <v>97.9</v>
      </c>
      <c r="I145" s="13">
        <v>98.399999999999991</v>
      </c>
      <c r="J145" s="5">
        <v>2</v>
      </c>
      <c r="K145" s="5" t="s">
        <v>113</v>
      </c>
      <c r="L145" s="5">
        <v>1</v>
      </c>
      <c r="M145" s="5">
        <v>1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>
        <v>120</v>
      </c>
      <c r="AC145" s="5">
        <v>90</v>
      </c>
      <c r="AD145" s="5">
        <v>480</v>
      </c>
      <c r="AE145" s="5">
        <f>IF([1]Rentabiliteit!$M$33="nee",$CT145,$CU145)</f>
        <v>0</v>
      </c>
      <c r="AF145" s="5">
        <f t="shared" si="43"/>
        <v>0</v>
      </c>
      <c r="AG145" s="5">
        <v>11</v>
      </c>
      <c r="AH145" s="5">
        <v>11</v>
      </c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>
        <f t="shared" si="44"/>
        <v>0</v>
      </c>
      <c r="AX145" s="5">
        <v>15</v>
      </c>
      <c r="AY145" s="5">
        <v>15</v>
      </c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41" t="s">
        <v>96</v>
      </c>
      <c r="BO145" s="6">
        <v>20</v>
      </c>
      <c r="BP145" s="5" t="s">
        <v>97</v>
      </c>
      <c r="BQ145" s="8">
        <v>43930</v>
      </c>
      <c r="BR145" s="5"/>
      <c r="BS145" s="9">
        <f t="shared" si="45"/>
        <v>4471.5447154471549</v>
      </c>
      <c r="BT145" s="6">
        <f t="shared" si="46"/>
        <v>19.130434782608695</v>
      </c>
      <c r="BU145" s="14">
        <v>99999999</v>
      </c>
      <c r="BV145" s="10">
        <v>99999999</v>
      </c>
      <c r="BW145" s="10">
        <v>99999999</v>
      </c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>
        <v>0</v>
      </c>
      <c r="CM145" s="9" t="s">
        <v>134</v>
      </c>
    </row>
    <row r="146" spans="1:91" x14ac:dyDescent="0.3">
      <c r="A146" s="5" t="s">
        <v>247</v>
      </c>
      <c r="B146" s="5" t="s">
        <v>94</v>
      </c>
      <c r="C146" s="5">
        <v>4600</v>
      </c>
      <c r="D146" s="5">
        <v>5000</v>
      </c>
      <c r="E146" s="5">
        <f>D146*[1]Rentabiliteit!$V$74</f>
        <v>5000</v>
      </c>
      <c r="F146" s="5">
        <v>5000</v>
      </c>
      <c r="G146" s="6">
        <v>98.6</v>
      </c>
      <c r="H146" s="6">
        <v>98</v>
      </c>
      <c r="I146" s="13">
        <v>98.399999999999991</v>
      </c>
      <c r="J146" s="5">
        <v>2</v>
      </c>
      <c r="K146" s="5" t="s">
        <v>113</v>
      </c>
      <c r="L146" s="5">
        <v>1</v>
      </c>
      <c r="M146" s="5">
        <v>1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>
        <v>120</v>
      </c>
      <c r="AC146" s="5">
        <v>90</v>
      </c>
      <c r="AD146" s="5">
        <v>480</v>
      </c>
      <c r="AE146" s="5">
        <f>IF([1]Rentabiliteit!$M$33="nee",$CT146,$CU146)</f>
        <v>0</v>
      </c>
      <c r="AF146" s="5">
        <f t="shared" si="43"/>
        <v>0</v>
      </c>
      <c r="AG146" s="5">
        <v>11</v>
      </c>
      <c r="AH146" s="5">
        <v>11</v>
      </c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>
        <f t="shared" si="44"/>
        <v>0</v>
      </c>
      <c r="AX146" s="5">
        <v>15</v>
      </c>
      <c r="AY146" s="5">
        <v>15</v>
      </c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41" t="s">
        <v>96</v>
      </c>
      <c r="BO146" s="6">
        <v>23</v>
      </c>
      <c r="BP146" s="5" t="s">
        <v>97</v>
      </c>
      <c r="BQ146" s="8">
        <v>43930</v>
      </c>
      <c r="BR146" s="5"/>
      <c r="BS146" s="9">
        <f t="shared" si="45"/>
        <v>5081.3008130081307</v>
      </c>
      <c r="BT146" s="6">
        <f t="shared" si="46"/>
        <v>21.739130434782609</v>
      </c>
      <c r="BU146" s="14">
        <v>99999999</v>
      </c>
      <c r="BV146" s="10">
        <v>99999999</v>
      </c>
      <c r="BW146" s="10">
        <v>99999999</v>
      </c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>
        <v>0</v>
      </c>
      <c r="CM146" s="9" t="s">
        <v>134</v>
      </c>
    </row>
    <row r="147" spans="1:91" x14ac:dyDescent="0.3">
      <c r="A147" s="5" t="s">
        <v>248</v>
      </c>
      <c r="B147" s="5" t="s">
        <v>94</v>
      </c>
      <c r="C147" s="5">
        <v>5000</v>
      </c>
      <c r="D147" s="5">
        <v>5500</v>
      </c>
      <c r="E147" s="5">
        <f>D147*[1]Rentabiliteit!$V$74</f>
        <v>5500</v>
      </c>
      <c r="F147" s="5">
        <v>5500</v>
      </c>
      <c r="G147" s="6">
        <v>98.6</v>
      </c>
      <c r="H147" s="6">
        <v>98</v>
      </c>
      <c r="I147" s="13">
        <v>98.399999999999991</v>
      </c>
      <c r="J147" s="5">
        <v>2</v>
      </c>
      <c r="K147" s="5" t="s">
        <v>113</v>
      </c>
      <c r="L147" s="5">
        <v>1</v>
      </c>
      <c r="M147" s="5">
        <v>1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>
        <v>120</v>
      </c>
      <c r="AC147" s="5">
        <v>90</v>
      </c>
      <c r="AD147" s="5">
        <v>480</v>
      </c>
      <c r="AE147" s="5">
        <f>IF([1]Rentabiliteit!$M$33="nee",$CT147,$CU147)</f>
        <v>0</v>
      </c>
      <c r="AF147" s="5">
        <f t="shared" si="43"/>
        <v>0</v>
      </c>
      <c r="AG147" s="5">
        <v>11</v>
      </c>
      <c r="AH147" s="5">
        <v>11</v>
      </c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>
        <f t="shared" si="44"/>
        <v>0</v>
      </c>
      <c r="AX147" s="5">
        <v>15</v>
      </c>
      <c r="AY147" s="5">
        <v>15</v>
      </c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41" t="s">
        <v>96</v>
      </c>
      <c r="BO147" s="6">
        <v>25</v>
      </c>
      <c r="BP147" s="5" t="s">
        <v>97</v>
      </c>
      <c r="BQ147" s="8">
        <v>43930</v>
      </c>
      <c r="BR147" s="5"/>
      <c r="BS147" s="9">
        <f t="shared" si="45"/>
        <v>5589.4308943089436</v>
      </c>
      <c r="BT147" s="6">
        <f t="shared" si="46"/>
        <v>23.913043478260871</v>
      </c>
      <c r="BU147" s="14">
        <v>99999999</v>
      </c>
      <c r="BV147" s="10">
        <v>99999999</v>
      </c>
      <c r="BW147" s="10">
        <v>99999999</v>
      </c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>
        <v>0</v>
      </c>
      <c r="CM147" s="9" t="s">
        <v>134</v>
      </c>
    </row>
    <row r="148" spans="1:91" x14ac:dyDescent="0.3">
      <c r="A148" s="5" t="s">
        <v>249</v>
      </c>
      <c r="B148" s="5" t="s">
        <v>94</v>
      </c>
      <c r="C148" s="5">
        <v>6000</v>
      </c>
      <c r="D148" s="5">
        <v>6600</v>
      </c>
      <c r="E148" s="5">
        <f>D148*[1]Rentabiliteit!$V$74</f>
        <v>6600</v>
      </c>
      <c r="F148" s="5">
        <v>6600</v>
      </c>
      <c r="G148" s="6">
        <v>98.6</v>
      </c>
      <c r="H148" s="6">
        <v>97.7</v>
      </c>
      <c r="I148" s="13">
        <v>98</v>
      </c>
      <c r="J148" s="5">
        <v>2</v>
      </c>
      <c r="K148" s="5" t="s">
        <v>113</v>
      </c>
      <c r="L148" s="5">
        <v>1</v>
      </c>
      <c r="M148" s="5">
        <v>1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>
        <v>200</v>
      </c>
      <c r="AC148" s="5">
        <v>140</v>
      </c>
      <c r="AD148" s="5">
        <v>850</v>
      </c>
      <c r="AE148" s="5">
        <v>1100</v>
      </c>
      <c r="AF148" s="5">
        <f t="shared" si="43"/>
        <v>0</v>
      </c>
      <c r="AG148" s="5">
        <v>11</v>
      </c>
      <c r="AH148" s="5">
        <v>11</v>
      </c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>
        <f t="shared" si="44"/>
        <v>0</v>
      </c>
      <c r="AX148" s="5">
        <v>15</v>
      </c>
      <c r="AY148" s="5">
        <v>15</v>
      </c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7" t="s">
        <v>250</v>
      </c>
      <c r="BO148" s="6">
        <v>10.1</v>
      </c>
      <c r="BP148" s="5" t="s">
        <v>174</v>
      </c>
      <c r="BQ148" s="8">
        <v>43592</v>
      </c>
      <c r="BR148" s="5"/>
      <c r="BS148" s="9">
        <f t="shared" si="45"/>
        <v>6734.6938775510207</v>
      </c>
      <c r="BT148" s="6">
        <f t="shared" ref="BT148:BT162" si="47">F148/400/SQRT(3)</f>
        <v>9.5262794416288248</v>
      </c>
      <c r="BU148" s="5">
        <v>12300</v>
      </c>
      <c r="BV148" s="10">
        <v>99999999</v>
      </c>
      <c r="BW148" s="10">
        <v>99999999</v>
      </c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>
        <v>0</v>
      </c>
      <c r="CM148" s="9" t="s">
        <v>98</v>
      </c>
    </row>
    <row r="149" spans="1:91" x14ac:dyDescent="0.3">
      <c r="A149" s="5" t="s">
        <v>251</v>
      </c>
      <c r="B149" s="5" t="s">
        <v>109</v>
      </c>
      <c r="C149" s="5">
        <v>8000</v>
      </c>
      <c r="D149" s="5">
        <v>8800</v>
      </c>
      <c r="E149" s="5">
        <f>D149*[1]Rentabiliteit!$V$74</f>
        <v>8800</v>
      </c>
      <c r="F149" s="5">
        <v>8800</v>
      </c>
      <c r="G149" s="6">
        <v>98.6</v>
      </c>
      <c r="H149" s="6">
        <v>98</v>
      </c>
      <c r="I149" s="13">
        <v>98.4</v>
      </c>
      <c r="J149" s="5">
        <v>2</v>
      </c>
      <c r="K149" s="5" t="s">
        <v>113</v>
      </c>
      <c r="L149" s="5">
        <v>2</v>
      </c>
      <c r="M149" s="5">
        <v>2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>
        <v>200</v>
      </c>
      <c r="AC149" s="5">
        <v>140</v>
      </c>
      <c r="AD149" s="5">
        <v>850</v>
      </c>
      <c r="AE149" s="5">
        <v>1100</v>
      </c>
      <c r="AF149" s="5">
        <f t="shared" si="43"/>
        <v>0</v>
      </c>
      <c r="AG149" s="5">
        <v>11</v>
      </c>
      <c r="AH149" s="5">
        <v>11</v>
      </c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>
        <f t="shared" si="44"/>
        <v>0</v>
      </c>
      <c r="AX149" s="5">
        <v>15</v>
      </c>
      <c r="AY149" s="5">
        <v>15</v>
      </c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7" t="s">
        <v>250</v>
      </c>
      <c r="BO149" s="6">
        <v>13.5</v>
      </c>
      <c r="BP149" s="5" t="s">
        <v>174</v>
      </c>
      <c r="BQ149" s="8">
        <v>43592</v>
      </c>
      <c r="BR149" s="5"/>
      <c r="BS149" s="9">
        <f t="shared" si="45"/>
        <v>8943.089430894308</v>
      </c>
      <c r="BT149" s="6">
        <f t="shared" si="47"/>
        <v>12.701705922171767</v>
      </c>
      <c r="BU149" s="5">
        <v>14880</v>
      </c>
      <c r="BV149" s="10">
        <v>99999999</v>
      </c>
      <c r="BW149" s="10">
        <v>99999999</v>
      </c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>
        <v>0</v>
      </c>
      <c r="CM149" s="9" t="s">
        <v>98</v>
      </c>
    </row>
    <row r="150" spans="1:91" x14ac:dyDescent="0.3">
      <c r="A150" s="5" t="s">
        <v>252</v>
      </c>
      <c r="B150" s="5" t="s">
        <v>109</v>
      </c>
      <c r="C150" s="5">
        <v>10000</v>
      </c>
      <c r="D150" s="14">
        <v>10000</v>
      </c>
      <c r="E150" s="14">
        <f>D150*[1]Rentabiliteit!$V$74</f>
        <v>10000</v>
      </c>
      <c r="F150" s="14">
        <v>10000</v>
      </c>
      <c r="G150" s="6">
        <v>98.6</v>
      </c>
      <c r="H150" s="6">
        <v>98.1</v>
      </c>
      <c r="I150" s="13">
        <v>98.4</v>
      </c>
      <c r="J150" s="5">
        <v>2</v>
      </c>
      <c r="K150" s="5" t="s">
        <v>113</v>
      </c>
      <c r="L150" s="5">
        <v>1</v>
      </c>
      <c r="M150" s="5">
        <v>1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>
        <v>200</v>
      </c>
      <c r="AC150" s="5">
        <v>140</v>
      </c>
      <c r="AD150" s="5">
        <v>850</v>
      </c>
      <c r="AE150" s="5">
        <v>1100</v>
      </c>
      <c r="AF150" s="5">
        <f t="shared" si="43"/>
        <v>0</v>
      </c>
      <c r="AG150" s="5">
        <v>11</v>
      </c>
      <c r="AH150" s="5">
        <v>11</v>
      </c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>
        <f t="shared" si="44"/>
        <v>0</v>
      </c>
      <c r="AX150" s="5">
        <v>15</v>
      </c>
      <c r="AY150" s="5">
        <v>15</v>
      </c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7" t="s">
        <v>250</v>
      </c>
      <c r="BO150" s="6">
        <v>16.899999999999999</v>
      </c>
      <c r="BP150" s="5" t="s">
        <v>174</v>
      </c>
      <c r="BQ150" s="8">
        <v>43592</v>
      </c>
      <c r="BR150" s="5"/>
      <c r="BS150" s="9">
        <f t="shared" si="45"/>
        <v>10162.60162601626</v>
      </c>
      <c r="BT150" s="6">
        <f t="shared" si="47"/>
        <v>14.433756729740645</v>
      </c>
      <c r="BU150" s="5">
        <v>14880</v>
      </c>
      <c r="BV150" s="10">
        <v>99999999</v>
      </c>
      <c r="BW150" s="10">
        <v>99999999</v>
      </c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>
        <v>0</v>
      </c>
      <c r="CM150" s="9" t="s">
        <v>98</v>
      </c>
    </row>
    <row r="151" spans="1:91" ht="15.6" x14ac:dyDescent="0.3">
      <c r="A151" s="5" t="s">
        <v>253</v>
      </c>
      <c r="B151" s="5" t="s">
        <v>109</v>
      </c>
      <c r="C151" s="5">
        <v>10000</v>
      </c>
      <c r="D151" s="5">
        <v>10000</v>
      </c>
      <c r="E151" s="5">
        <f>D151*[1]Rentabiliteit!$V$74</f>
        <v>10000</v>
      </c>
      <c r="F151" s="22">
        <v>11000</v>
      </c>
      <c r="G151" s="6">
        <v>98.6</v>
      </c>
      <c r="H151" s="6">
        <v>98.1</v>
      </c>
      <c r="I151" s="13">
        <v>98.4</v>
      </c>
      <c r="J151" s="5">
        <v>2</v>
      </c>
      <c r="K151" s="5" t="s">
        <v>113</v>
      </c>
      <c r="L151" s="5">
        <v>1</v>
      </c>
      <c r="M151" s="5">
        <v>1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>
        <v>200</v>
      </c>
      <c r="AC151" s="5">
        <v>140</v>
      </c>
      <c r="AD151" s="5">
        <v>850</v>
      </c>
      <c r="AE151" s="5">
        <v>1100</v>
      </c>
      <c r="AF151" s="5">
        <f t="shared" si="43"/>
        <v>0</v>
      </c>
      <c r="AG151" s="5">
        <v>13.5</v>
      </c>
      <c r="AH151" s="5">
        <v>13.5</v>
      </c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>
        <f t="shared" si="44"/>
        <v>0</v>
      </c>
      <c r="AX151" s="5">
        <v>19.5</v>
      </c>
      <c r="AY151" s="5">
        <v>19.5</v>
      </c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41" t="s">
        <v>96</v>
      </c>
      <c r="BO151" s="13">
        <v>16.899999999999999</v>
      </c>
      <c r="BP151" s="5" t="s">
        <v>133</v>
      </c>
      <c r="BQ151" s="8">
        <v>44566</v>
      </c>
      <c r="BR151" s="5"/>
      <c r="BS151" s="9">
        <f t="shared" si="45"/>
        <v>10162.60162601626</v>
      </c>
      <c r="BT151" s="6">
        <f t="shared" si="47"/>
        <v>15.877132402714709</v>
      </c>
      <c r="BU151" s="5">
        <v>99999999</v>
      </c>
      <c r="BV151" s="10">
        <v>99999999</v>
      </c>
      <c r="BW151" s="10">
        <v>99999999</v>
      </c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>
        <v>0</v>
      </c>
      <c r="CM151" s="9" t="s">
        <v>254</v>
      </c>
    </row>
    <row r="152" spans="1:91" x14ac:dyDescent="0.3">
      <c r="A152" s="5" t="s">
        <v>255</v>
      </c>
      <c r="B152" s="5" t="s">
        <v>109</v>
      </c>
      <c r="C152" s="5">
        <v>12000</v>
      </c>
      <c r="D152" s="5">
        <v>13200</v>
      </c>
      <c r="E152" s="5">
        <f>D152*[1]Rentabiliteit!$V$74</f>
        <v>13200</v>
      </c>
      <c r="F152" s="5">
        <v>13200</v>
      </c>
      <c r="G152" s="6">
        <v>98.5</v>
      </c>
      <c r="H152" s="6">
        <v>98</v>
      </c>
      <c r="I152" s="13">
        <v>98.4</v>
      </c>
      <c r="J152" s="5">
        <v>2</v>
      </c>
      <c r="K152" s="5" t="s">
        <v>113</v>
      </c>
      <c r="L152" s="5">
        <v>2</v>
      </c>
      <c r="M152" s="5">
        <v>2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>
        <v>250</v>
      </c>
      <c r="AC152" s="5">
        <v>200</v>
      </c>
      <c r="AD152" s="5">
        <v>800</v>
      </c>
      <c r="AE152" s="5">
        <v>1000</v>
      </c>
      <c r="AF152" s="5">
        <f t="shared" si="43"/>
        <v>0</v>
      </c>
      <c r="AG152" s="5">
        <v>18</v>
      </c>
      <c r="AH152" s="5">
        <v>18</v>
      </c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>
        <f t="shared" si="44"/>
        <v>0</v>
      </c>
      <c r="AX152" s="5">
        <v>25</v>
      </c>
      <c r="AY152" s="5">
        <v>25</v>
      </c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7" t="s">
        <v>96</v>
      </c>
      <c r="BO152" s="6">
        <v>19.2</v>
      </c>
      <c r="BP152" s="5" t="s">
        <v>97</v>
      </c>
      <c r="BQ152" s="8">
        <v>42381</v>
      </c>
      <c r="BR152" s="5" t="s">
        <v>256</v>
      </c>
      <c r="BS152" s="9">
        <f t="shared" si="45"/>
        <v>13414.634146341463</v>
      </c>
      <c r="BT152" s="6">
        <f t="shared" si="47"/>
        <v>19.05255888325765</v>
      </c>
      <c r="BU152" s="5">
        <v>99999999</v>
      </c>
      <c r="BV152" s="10">
        <v>99999999</v>
      </c>
      <c r="BW152" s="10">
        <v>99999999</v>
      </c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>
        <v>0</v>
      </c>
      <c r="CM152" s="9" t="s">
        <v>98</v>
      </c>
    </row>
    <row r="153" spans="1:91" x14ac:dyDescent="0.3">
      <c r="A153" s="5" t="s">
        <v>257</v>
      </c>
      <c r="B153" s="5" t="s">
        <v>109</v>
      </c>
      <c r="C153" s="5">
        <v>12000</v>
      </c>
      <c r="D153" s="5">
        <v>13200</v>
      </c>
      <c r="E153" s="5">
        <f>D153*[1]Rentabiliteit!$V$74</f>
        <v>13200</v>
      </c>
      <c r="F153" s="5">
        <v>13200</v>
      </c>
      <c r="G153" s="6">
        <v>98.5</v>
      </c>
      <c r="H153" s="6">
        <v>98</v>
      </c>
      <c r="I153" s="13">
        <v>98.4</v>
      </c>
      <c r="J153" s="5">
        <v>2</v>
      </c>
      <c r="K153" s="5" t="s">
        <v>113</v>
      </c>
      <c r="L153" s="5">
        <v>2</v>
      </c>
      <c r="M153" s="5">
        <v>2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>
        <v>200</v>
      </c>
      <c r="AC153" s="5">
        <v>360</v>
      </c>
      <c r="AD153" s="5">
        <v>850</v>
      </c>
      <c r="AE153" s="5">
        <v>1080</v>
      </c>
      <c r="AF153" s="5">
        <f t="shared" si="43"/>
        <v>0</v>
      </c>
      <c r="AG153" s="5">
        <v>27</v>
      </c>
      <c r="AH153" s="5">
        <v>27</v>
      </c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>
        <f t="shared" si="44"/>
        <v>0</v>
      </c>
      <c r="AX153" s="5">
        <v>39</v>
      </c>
      <c r="AY153" s="5">
        <v>39</v>
      </c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41" t="s">
        <v>96</v>
      </c>
      <c r="BO153" s="13">
        <v>20</v>
      </c>
      <c r="BP153" s="5" t="s">
        <v>133</v>
      </c>
      <c r="BQ153" s="8">
        <v>44566</v>
      </c>
      <c r="BR153" s="5"/>
      <c r="BS153" s="9">
        <f t="shared" si="45"/>
        <v>13414.634146341463</v>
      </c>
      <c r="BT153" s="6">
        <f t="shared" si="47"/>
        <v>19.05255888325765</v>
      </c>
      <c r="BU153" s="5">
        <v>99999999</v>
      </c>
      <c r="BV153" s="10">
        <v>99999999</v>
      </c>
      <c r="BW153" s="10">
        <v>99999999</v>
      </c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>
        <v>0</v>
      </c>
      <c r="CM153" s="9" t="s">
        <v>134</v>
      </c>
    </row>
    <row r="154" spans="1:91" x14ac:dyDescent="0.3">
      <c r="A154" s="5" t="s">
        <v>258</v>
      </c>
      <c r="B154" s="5" t="s">
        <v>109</v>
      </c>
      <c r="C154" s="5">
        <v>15000</v>
      </c>
      <c r="D154" s="5">
        <v>16500</v>
      </c>
      <c r="E154" s="5">
        <v>16500</v>
      </c>
      <c r="F154" s="5">
        <v>16500</v>
      </c>
      <c r="G154" s="6">
        <v>98.6</v>
      </c>
      <c r="H154" s="6">
        <v>98.3</v>
      </c>
      <c r="I154" s="13">
        <v>98.4</v>
      </c>
      <c r="J154" s="5">
        <v>2</v>
      </c>
      <c r="K154" s="5" t="s">
        <v>113</v>
      </c>
      <c r="L154" s="5">
        <v>2</v>
      </c>
      <c r="M154" s="5">
        <v>2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>
        <v>200</v>
      </c>
      <c r="AC154" s="5">
        <v>380</v>
      </c>
      <c r="AD154" s="5">
        <v>850</v>
      </c>
      <c r="AE154" s="5">
        <v>1080</v>
      </c>
      <c r="AF154" s="5">
        <f t="shared" si="43"/>
        <v>0</v>
      </c>
      <c r="AG154" s="5">
        <v>27</v>
      </c>
      <c r="AH154" s="5">
        <v>27</v>
      </c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>
        <f t="shared" si="44"/>
        <v>0</v>
      </c>
      <c r="AX154" s="5">
        <v>39</v>
      </c>
      <c r="AY154" s="5">
        <v>39</v>
      </c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41" t="s">
        <v>96</v>
      </c>
      <c r="BO154" s="13">
        <v>25.2</v>
      </c>
      <c r="BP154" s="5" t="s">
        <v>133</v>
      </c>
      <c r="BQ154" s="8">
        <v>44566</v>
      </c>
      <c r="BR154" s="5"/>
      <c r="BS154" s="9">
        <f t="shared" si="45"/>
        <v>16768.292682926829</v>
      </c>
      <c r="BT154" s="6">
        <f t="shared" si="47"/>
        <v>23.815698604072065</v>
      </c>
      <c r="BU154" s="5">
        <v>99999999</v>
      </c>
      <c r="BV154" s="10">
        <v>99999999</v>
      </c>
      <c r="BW154" s="10">
        <v>99999999</v>
      </c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>
        <v>0</v>
      </c>
      <c r="CM154" s="9" t="s">
        <v>134</v>
      </c>
    </row>
    <row r="155" spans="1:91" x14ac:dyDescent="0.3">
      <c r="A155" s="5" t="s">
        <v>259</v>
      </c>
      <c r="B155" s="5" t="s">
        <v>109</v>
      </c>
      <c r="C155" s="5">
        <v>17000</v>
      </c>
      <c r="D155" s="5">
        <v>18700</v>
      </c>
      <c r="E155" s="5">
        <f>D155*[1]Rentabiliteit!$V$74</f>
        <v>18700</v>
      </c>
      <c r="F155" s="5">
        <v>18700</v>
      </c>
      <c r="G155" s="6">
        <v>98.6</v>
      </c>
      <c r="H155" s="6">
        <v>98.3</v>
      </c>
      <c r="I155" s="13">
        <v>98.4</v>
      </c>
      <c r="J155" s="5">
        <v>3</v>
      </c>
      <c r="K155" s="5" t="s">
        <v>113</v>
      </c>
      <c r="L155" s="5">
        <v>2</v>
      </c>
      <c r="M155" s="5">
        <v>2</v>
      </c>
      <c r="N155" s="5">
        <v>2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>
        <v>250</v>
      </c>
      <c r="AC155" s="5">
        <v>200</v>
      </c>
      <c r="AD155" s="5">
        <v>800</v>
      </c>
      <c r="AE155" s="5">
        <v>1000</v>
      </c>
      <c r="AF155" s="5">
        <f t="shared" si="43"/>
        <v>0</v>
      </c>
      <c r="AG155" s="5">
        <v>18</v>
      </c>
      <c r="AH155" s="5">
        <v>18</v>
      </c>
      <c r="AI155" s="5">
        <v>18</v>
      </c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>
        <f t="shared" si="44"/>
        <v>0</v>
      </c>
      <c r="AX155" s="5">
        <v>25</v>
      </c>
      <c r="AY155" s="5">
        <v>25</v>
      </c>
      <c r="AZ155" s="5">
        <v>25</v>
      </c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7" t="s">
        <v>96</v>
      </c>
      <c r="BO155" s="6">
        <v>27.2</v>
      </c>
      <c r="BP155" s="5" t="s">
        <v>97</v>
      </c>
      <c r="BQ155" s="8">
        <v>42381</v>
      </c>
      <c r="BR155" s="5" t="s">
        <v>256</v>
      </c>
      <c r="BS155" s="9">
        <f t="shared" si="45"/>
        <v>19004.065040650406</v>
      </c>
      <c r="BT155" s="6">
        <f t="shared" si="47"/>
        <v>26.991125084615007</v>
      </c>
      <c r="BU155" s="5">
        <v>99999999</v>
      </c>
      <c r="BV155" s="10">
        <v>99999999</v>
      </c>
      <c r="BW155" s="10">
        <v>99999999</v>
      </c>
      <c r="BX155" s="10">
        <v>99999999</v>
      </c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>
        <v>0</v>
      </c>
      <c r="CM155" s="9" t="s">
        <v>98</v>
      </c>
    </row>
    <row r="156" spans="1:91" x14ac:dyDescent="0.3">
      <c r="A156" s="5" t="s">
        <v>260</v>
      </c>
      <c r="B156" s="5" t="s">
        <v>109</v>
      </c>
      <c r="C156" s="5">
        <v>17000</v>
      </c>
      <c r="D156" s="5">
        <v>18700</v>
      </c>
      <c r="E156" s="5">
        <f>D156*[1]Rentabiliteit!$V$74</f>
        <v>18700</v>
      </c>
      <c r="F156" s="5">
        <v>18700</v>
      </c>
      <c r="G156" s="6">
        <v>98.6</v>
      </c>
      <c r="H156" s="6">
        <v>98.3</v>
      </c>
      <c r="I156" s="13">
        <v>98.4</v>
      </c>
      <c r="J156" s="5">
        <v>2</v>
      </c>
      <c r="K156" s="5" t="s">
        <v>113</v>
      </c>
      <c r="L156" s="5">
        <v>2</v>
      </c>
      <c r="M156" s="5">
        <v>2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>
        <v>200</v>
      </c>
      <c r="AC156" s="5">
        <v>400</v>
      </c>
      <c r="AD156" s="5">
        <v>850</v>
      </c>
      <c r="AE156" s="5">
        <v>1080</v>
      </c>
      <c r="AF156" s="5">
        <f t="shared" si="43"/>
        <v>0</v>
      </c>
      <c r="AG156" s="5">
        <v>27</v>
      </c>
      <c r="AH156" s="5">
        <v>27</v>
      </c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>
        <f t="shared" si="44"/>
        <v>0</v>
      </c>
      <c r="AX156" s="5">
        <v>39</v>
      </c>
      <c r="AY156" s="5">
        <v>39</v>
      </c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41" t="s">
        <v>96</v>
      </c>
      <c r="BO156" s="13">
        <v>28.5</v>
      </c>
      <c r="BP156" s="5" t="s">
        <v>133</v>
      </c>
      <c r="BQ156" s="8">
        <v>44566</v>
      </c>
      <c r="BR156" s="5"/>
      <c r="BS156" s="9">
        <f t="shared" si="45"/>
        <v>19004.065040650406</v>
      </c>
      <c r="BT156" s="6">
        <f t="shared" si="47"/>
        <v>26.991125084615007</v>
      </c>
      <c r="BU156" s="5">
        <v>99999999</v>
      </c>
      <c r="BV156" s="10">
        <v>99999999</v>
      </c>
      <c r="BW156" s="10">
        <v>99999999</v>
      </c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>
        <v>0</v>
      </c>
      <c r="CM156" s="9" t="s">
        <v>134</v>
      </c>
    </row>
    <row r="157" spans="1:91" x14ac:dyDescent="0.3">
      <c r="A157" s="5" t="s">
        <v>261</v>
      </c>
      <c r="B157" s="5" t="s">
        <v>109</v>
      </c>
      <c r="C157" s="5">
        <v>20000</v>
      </c>
      <c r="D157" s="5">
        <v>22000</v>
      </c>
      <c r="E157" s="5">
        <f>D157*[1]Rentabiliteit!$V$74</f>
        <v>22000</v>
      </c>
      <c r="F157" s="5">
        <v>22000</v>
      </c>
      <c r="G157" s="6">
        <v>98.6</v>
      </c>
      <c r="H157" s="6">
        <v>98.3</v>
      </c>
      <c r="I157" s="13">
        <v>98.3</v>
      </c>
      <c r="J157" s="5">
        <v>3</v>
      </c>
      <c r="K157" s="5" t="s">
        <v>113</v>
      </c>
      <c r="L157" s="5">
        <v>2</v>
      </c>
      <c r="M157" s="5">
        <v>2</v>
      </c>
      <c r="N157" s="5">
        <v>2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>
        <v>250</v>
      </c>
      <c r="AC157" s="5">
        <v>200</v>
      </c>
      <c r="AD157" s="5">
        <v>800</v>
      </c>
      <c r="AE157" s="5">
        <v>1000</v>
      </c>
      <c r="AF157" s="5">
        <f t="shared" si="43"/>
        <v>0</v>
      </c>
      <c r="AG157" s="5">
        <v>18</v>
      </c>
      <c r="AH157" s="5">
        <v>18</v>
      </c>
      <c r="AI157" s="5">
        <v>18</v>
      </c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>
        <f t="shared" si="44"/>
        <v>0</v>
      </c>
      <c r="AX157" s="5">
        <v>25</v>
      </c>
      <c r="AY157" s="5">
        <v>25</v>
      </c>
      <c r="AZ157" s="5">
        <v>25</v>
      </c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7" t="s">
        <v>96</v>
      </c>
      <c r="BO157" s="6">
        <v>32</v>
      </c>
      <c r="BP157" s="5" t="s">
        <v>97</v>
      </c>
      <c r="BQ157" s="8">
        <v>42381</v>
      </c>
      <c r="BR157" s="5" t="s">
        <v>256</v>
      </c>
      <c r="BS157" s="9">
        <f t="shared" si="45"/>
        <v>22380.467955239066</v>
      </c>
      <c r="BT157" s="6">
        <f t="shared" si="47"/>
        <v>31.754264805429418</v>
      </c>
      <c r="BU157" s="5">
        <v>99999999</v>
      </c>
      <c r="BV157" s="10">
        <v>99999999</v>
      </c>
      <c r="BW157" s="10">
        <v>99999999</v>
      </c>
      <c r="BX157" s="10">
        <v>99999999</v>
      </c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>
        <v>0</v>
      </c>
      <c r="CM157" s="9" t="s">
        <v>98</v>
      </c>
    </row>
    <row r="158" spans="1:91" x14ac:dyDescent="0.3">
      <c r="A158" s="5" t="s">
        <v>262</v>
      </c>
      <c r="B158" s="5" t="s">
        <v>109</v>
      </c>
      <c r="C158" s="5">
        <v>20000</v>
      </c>
      <c r="D158" s="5">
        <v>22000</v>
      </c>
      <c r="E158" s="5">
        <f>D158*[1]Rentabiliteit!$V$74</f>
        <v>22000</v>
      </c>
      <c r="F158" s="5">
        <v>22000</v>
      </c>
      <c r="G158" s="6">
        <v>98.6</v>
      </c>
      <c r="H158" s="6">
        <v>98.3</v>
      </c>
      <c r="I158" s="13">
        <v>98.3</v>
      </c>
      <c r="J158" s="5">
        <v>2</v>
      </c>
      <c r="K158" s="5" t="s">
        <v>113</v>
      </c>
      <c r="L158" s="5">
        <v>2</v>
      </c>
      <c r="M158" s="5">
        <v>2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>
        <v>200</v>
      </c>
      <c r="AC158" s="5">
        <v>450</v>
      </c>
      <c r="AD158" s="5">
        <v>850</v>
      </c>
      <c r="AE158" s="5">
        <v>1080</v>
      </c>
      <c r="AF158" s="5">
        <f t="shared" si="43"/>
        <v>0</v>
      </c>
      <c r="AG158" s="5">
        <v>27</v>
      </c>
      <c r="AH158" s="5">
        <v>27</v>
      </c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>
        <f t="shared" si="44"/>
        <v>0</v>
      </c>
      <c r="AX158" s="5">
        <v>39</v>
      </c>
      <c r="AY158" s="5">
        <v>39</v>
      </c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41" t="s">
        <v>96</v>
      </c>
      <c r="BO158" s="13">
        <v>33.5</v>
      </c>
      <c r="BP158" s="5" t="s">
        <v>133</v>
      </c>
      <c r="BQ158" s="8">
        <v>44566</v>
      </c>
      <c r="BR158" s="5"/>
      <c r="BS158" s="9">
        <f t="shared" si="45"/>
        <v>22380.467955239066</v>
      </c>
      <c r="BT158" s="6">
        <f t="shared" si="47"/>
        <v>31.754264805429418</v>
      </c>
      <c r="BU158" s="5">
        <v>99999999</v>
      </c>
      <c r="BV158" s="10">
        <v>99999999</v>
      </c>
      <c r="BW158" s="10">
        <v>99999999</v>
      </c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>
        <v>0</v>
      </c>
      <c r="CM158" s="9" t="s">
        <v>134</v>
      </c>
    </row>
    <row r="159" spans="1:91" x14ac:dyDescent="0.3">
      <c r="A159" s="5" t="s">
        <v>263</v>
      </c>
      <c r="B159" s="5" t="s">
        <v>109</v>
      </c>
      <c r="C159" s="5">
        <v>30000</v>
      </c>
      <c r="D159" s="5">
        <v>30000</v>
      </c>
      <c r="E159" s="5">
        <f>D159*[1]Rentabiliteit!$V$74</f>
        <v>30000</v>
      </c>
      <c r="F159" s="5">
        <v>30000</v>
      </c>
      <c r="G159" s="6">
        <v>98.6</v>
      </c>
      <c r="H159" s="6">
        <v>98.3</v>
      </c>
      <c r="I159" s="13">
        <v>98.2</v>
      </c>
      <c r="J159" s="5">
        <v>3</v>
      </c>
      <c r="K159" s="5" t="s">
        <v>113</v>
      </c>
      <c r="L159" s="5">
        <v>2</v>
      </c>
      <c r="M159" s="5">
        <v>2</v>
      </c>
      <c r="N159" s="5">
        <v>2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14">
        <v>250</v>
      </c>
      <c r="AC159" s="5">
        <v>200</v>
      </c>
      <c r="AD159" s="5">
        <v>800</v>
      </c>
      <c r="AE159" s="5">
        <v>1000</v>
      </c>
      <c r="AF159" s="5">
        <f t="shared" si="43"/>
        <v>0</v>
      </c>
      <c r="AG159" s="5">
        <v>23</v>
      </c>
      <c r="AH159" s="5">
        <v>23</v>
      </c>
      <c r="AI159" s="5">
        <v>23</v>
      </c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>
        <f t="shared" si="44"/>
        <v>0</v>
      </c>
      <c r="AX159" s="5">
        <v>32</v>
      </c>
      <c r="AY159" s="5">
        <v>32</v>
      </c>
      <c r="AZ159" s="5">
        <v>32</v>
      </c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7" t="s">
        <v>96</v>
      </c>
      <c r="BO159" s="6">
        <v>48</v>
      </c>
      <c r="BP159" s="5" t="s">
        <v>97</v>
      </c>
      <c r="BQ159" s="8">
        <v>42381</v>
      </c>
      <c r="BR159" s="5" t="s">
        <v>256</v>
      </c>
      <c r="BS159" s="9">
        <f t="shared" si="45"/>
        <v>30549.898167006111</v>
      </c>
      <c r="BT159" s="6">
        <f t="shared" si="47"/>
        <v>43.301270189221938</v>
      </c>
      <c r="BU159" s="5">
        <v>99999999</v>
      </c>
      <c r="BV159" s="10">
        <v>99999999</v>
      </c>
      <c r="BW159" s="10">
        <v>99999999</v>
      </c>
      <c r="BX159" s="10">
        <v>99999999</v>
      </c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>
        <v>0</v>
      </c>
      <c r="CM159" s="9" t="s">
        <v>98</v>
      </c>
    </row>
    <row r="160" spans="1:91" x14ac:dyDescent="0.3">
      <c r="A160" s="5" t="s">
        <v>264</v>
      </c>
      <c r="B160" s="5" t="s">
        <v>109</v>
      </c>
      <c r="C160" s="5">
        <v>30000</v>
      </c>
      <c r="D160" s="5">
        <v>30000</v>
      </c>
      <c r="E160" s="5">
        <f>D160*[1]Rentabiliteit!$V$74</f>
        <v>30000</v>
      </c>
      <c r="F160" s="5">
        <v>33000</v>
      </c>
      <c r="G160" s="6">
        <v>98.6</v>
      </c>
      <c r="H160" s="6">
        <v>98.4</v>
      </c>
      <c r="I160" s="13">
        <v>98.3</v>
      </c>
      <c r="J160" s="5">
        <v>4</v>
      </c>
      <c r="K160" s="5" t="s">
        <v>96</v>
      </c>
      <c r="L160" s="5">
        <v>2</v>
      </c>
      <c r="M160" s="5">
        <v>2</v>
      </c>
      <c r="N160" s="5">
        <v>2</v>
      </c>
      <c r="O160" s="5">
        <v>2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>
        <v>250</v>
      </c>
      <c r="AC160" s="5">
        <v>200</v>
      </c>
      <c r="AD160" s="5">
        <v>800</v>
      </c>
      <c r="AE160" s="5">
        <v>1100</v>
      </c>
      <c r="AF160" s="5">
        <f t="shared" si="43"/>
        <v>0</v>
      </c>
      <c r="AG160" s="5">
        <v>22</v>
      </c>
      <c r="AH160" s="5">
        <v>22</v>
      </c>
      <c r="AI160" s="5">
        <v>22</v>
      </c>
      <c r="AJ160" s="5">
        <v>22</v>
      </c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>
        <f t="shared" si="44"/>
        <v>0</v>
      </c>
      <c r="AX160" s="5">
        <v>30</v>
      </c>
      <c r="AY160" s="5">
        <v>30</v>
      </c>
      <c r="AZ160" s="5">
        <v>30</v>
      </c>
      <c r="BA160" s="5">
        <v>30</v>
      </c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41" t="s">
        <v>96</v>
      </c>
      <c r="BO160" s="13">
        <v>48</v>
      </c>
      <c r="BP160" s="5" t="s">
        <v>97</v>
      </c>
      <c r="BQ160" s="8">
        <v>42950</v>
      </c>
      <c r="BR160" s="5"/>
      <c r="BS160" s="9">
        <f t="shared" si="45"/>
        <v>30518.819938962362</v>
      </c>
      <c r="BT160" s="6">
        <f t="shared" si="47"/>
        <v>47.631397208144129</v>
      </c>
      <c r="BU160" s="5">
        <v>99999999</v>
      </c>
      <c r="BV160" s="10">
        <v>99999999</v>
      </c>
      <c r="BW160" s="10">
        <v>99999999</v>
      </c>
      <c r="BX160" s="10">
        <v>99999999</v>
      </c>
      <c r="BY160" s="10">
        <v>99999999</v>
      </c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>
        <v>0</v>
      </c>
      <c r="CM160" s="9" t="s">
        <v>265</v>
      </c>
    </row>
    <row r="161" spans="1:91" x14ac:dyDescent="0.3">
      <c r="A161" s="5" t="s">
        <v>266</v>
      </c>
      <c r="B161" s="5" t="s">
        <v>109</v>
      </c>
      <c r="C161" s="5">
        <v>36000</v>
      </c>
      <c r="D161" s="5">
        <v>40000</v>
      </c>
      <c r="E161" s="5">
        <f>D161*[1]Rentabiliteit!$V$74</f>
        <v>40000</v>
      </c>
      <c r="F161" s="5">
        <v>40000</v>
      </c>
      <c r="G161" s="6">
        <v>98.6</v>
      </c>
      <c r="H161" s="6">
        <v>98.3</v>
      </c>
      <c r="I161" s="13">
        <v>98.2</v>
      </c>
      <c r="J161" s="5">
        <v>4</v>
      </c>
      <c r="K161" s="5" t="s">
        <v>96</v>
      </c>
      <c r="L161" s="5">
        <v>2</v>
      </c>
      <c r="M161" s="5">
        <v>2</v>
      </c>
      <c r="N161" s="5">
        <v>2</v>
      </c>
      <c r="O161" s="5">
        <v>2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>
        <v>250</v>
      </c>
      <c r="AC161" s="5">
        <v>200</v>
      </c>
      <c r="AD161" s="5">
        <v>800</v>
      </c>
      <c r="AE161" s="5">
        <v>1100</v>
      </c>
      <c r="AF161" s="5">
        <f t="shared" si="43"/>
        <v>0</v>
      </c>
      <c r="AG161" s="5">
        <v>22</v>
      </c>
      <c r="AH161" s="5">
        <v>22</v>
      </c>
      <c r="AI161" s="5">
        <v>22</v>
      </c>
      <c r="AJ161" s="5">
        <v>22</v>
      </c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>
        <f t="shared" si="44"/>
        <v>0</v>
      </c>
      <c r="AX161" s="5">
        <v>30</v>
      </c>
      <c r="AY161" s="5">
        <v>30</v>
      </c>
      <c r="AZ161" s="5">
        <v>30</v>
      </c>
      <c r="BA161" s="5">
        <v>30</v>
      </c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41" t="s">
        <v>96</v>
      </c>
      <c r="BO161" s="13">
        <v>57.8</v>
      </c>
      <c r="BP161" s="5" t="s">
        <v>97</v>
      </c>
      <c r="BQ161" s="8">
        <v>42522</v>
      </c>
      <c r="BR161" s="5" t="s">
        <v>256</v>
      </c>
      <c r="BS161" s="9">
        <f t="shared" si="45"/>
        <v>40733.197556008148</v>
      </c>
      <c r="BT161" s="6">
        <f t="shared" si="47"/>
        <v>57.735026918962582</v>
      </c>
      <c r="BU161" s="5">
        <v>99999999</v>
      </c>
      <c r="BV161" s="10">
        <v>99999999</v>
      </c>
      <c r="BW161" s="10">
        <v>99999999</v>
      </c>
      <c r="BX161" s="10">
        <v>99999999</v>
      </c>
      <c r="BY161" s="10">
        <v>99999999</v>
      </c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>
        <v>0</v>
      </c>
      <c r="CM161" s="9" t="s">
        <v>265</v>
      </c>
    </row>
    <row r="162" spans="1:91" x14ac:dyDescent="0.3">
      <c r="A162" s="5" t="s">
        <v>267</v>
      </c>
      <c r="B162" s="5" t="s">
        <v>109</v>
      </c>
      <c r="C162" s="5">
        <v>36000</v>
      </c>
      <c r="D162" s="5">
        <v>40000</v>
      </c>
      <c r="E162" s="5">
        <f>D162*[1]Rentabiliteit!$V$74</f>
        <v>40000</v>
      </c>
      <c r="F162" s="5">
        <v>40000</v>
      </c>
      <c r="G162" s="6">
        <v>98.6</v>
      </c>
      <c r="H162" s="6">
        <v>98.3</v>
      </c>
      <c r="I162" s="13">
        <v>98.2</v>
      </c>
      <c r="J162" s="5">
        <v>4</v>
      </c>
      <c r="K162" s="5" t="s">
        <v>96</v>
      </c>
      <c r="L162" s="5">
        <v>2</v>
      </c>
      <c r="M162" s="5">
        <v>2</v>
      </c>
      <c r="N162" s="5">
        <v>2</v>
      </c>
      <c r="O162" s="5">
        <v>2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>
        <v>250</v>
      </c>
      <c r="AC162" s="5">
        <v>200</v>
      </c>
      <c r="AD162" s="5">
        <v>800</v>
      </c>
      <c r="AE162" s="5">
        <v>1100</v>
      </c>
      <c r="AF162" s="5">
        <f t="shared" si="43"/>
        <v>0</v>
      </c>
      <c r="AG162" s="5">
        <v>22</v>
      </c>
      <c r="AH162" s="5">
        <v>22</v>
      </c>
      <c r="AI162" s="5">
        <v>22</v>
      </c>
      <c r="AJ162" s="5">
        <v>22</v>
      </c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>
        <f t="shared" si="44"/>
        <v>0</v>
      </c>
      <c r="AX162" s="5">
        <v>30</v>
      </c>
      <c r="AY162" s="5">
        <v>30</v>
      </c>
      <c r="AZ162" s="5">
        <v>30</v>
      </c>
      <c r="BA162" s="5">
        <v>30</v>
      </c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7" t="s">
        <v>96</v>
      </c>
      <c r="BO162" s="6">
        <v>57.8</v>
      </c>
      <c r="BP162" s="5" t="s">
        <v>97</v>
      </c>
      <c r="BQ162" s="8">
        <v>42522</v>
      </c>
      <c r="BR162" s="5" t="s">
        <v>256</v>
      </c>
      <c r="BS162" s="9">
        <f t="shared" si="45"/>
        <v>40733.197556008148</v>
      </c>
      <c r="BT162" s="6">
        <f t="shared" si="47"/>
        <v>57.735026918962582</v>
      </c>
      <c r="BU162" s="5">
        <v>99999999</v>
      </c>
      <c r="BV162" s="10">
        <v>99999999</v>
      </c>
      <c r="BW162" s="10">
        <v>99999999</v>
      </c>
      <c r="BX162" s="10">
        <v>99999999</v>
      </c>
      <c r="BY162" s="10">
        <v>99999999</v>
      </c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>
        <v>0</v>
      </c>
      <c r="CM162" s="9" t="s">
        <v>265</v>
      </c>
    </row>
    <row r="163" spans="1:91" ht="15.6" x14ac:dyDescent="0.3">
      <c r="A163" s="5" t="s">
        <v>268</v>
      </c>
      <c r="B163" s="22" t="s">
        <v>269</v>
      </c>
      <c r="C163" s="5">
        <v>42000</v>
      </c>
      <c r="D163" s="5">
        <v>47000</v>
      </c>
      <c r="E163" s="5">
        <f>D163*[1]Rentabiliteit!$V$74</f>
        <v>47000</v>
      </c>
      <c r="F163" s="5">
        <v>47000</v>
      </c>
      <c r="G163" s="6">
        <v>98.8</v>
      </c>
      <c r="H163" s="6">
        <v>98.4</v>
      </c>
      <c r="I163" s="13">
        <v>98.5</v>
      </c>
      <c r="J163" s="5">
        <v>4</v>
      </c>
      <c r="K163" s="5" t="s">
        <v>113</v>
      </c>
      <c r="L163" s="5">
        <v>2</v>
      </c>
      <c r="M163" s="5">
        <v>2</v>
      </c>
      <c r="N163" s="5">
        <v>2</v>
      </c>
      <c r="O163" s="5">
        <v>2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>
        <v>250</v>
      </c>
      <c r="AC163" s="5">
        <v>200</v>
      </c>
      <c r="AD163" s="5">
        <v>850</v>
      </c>
      <c r="AE163" s="5">
        <v>1100</v>
      </c>
      <c r="AF163" s="5">
        <f t="shared" si="43"/>
        <v>0</v>
      </c>
      <c r="AG163" s="5">
        <v>22</v>
      </c>
      <c r="AH163" s="5">
        <v>22</v>
      </c>
      <c r="AI163" s="5">
        <v>22</v>
      </c>
      <c r="AJ163" s="5">
        <v>22</v>
      </c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>
        <f t="shared" si="44"/>
        <v>0</v>
      </c>
      <c r="AX163" s="5">
        <v>30</v>
      </c>
      <c r="AY163" s="5">
        <v>30</v>
      </c>
      <c r="AZ163" s="5">
        <v>30</v>
      </c>
      <c r="BA163" s="5">
        <v>30</v>
      </c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7" t="s">
        <v>96</v>
      </c>
      <c r="BO163" s="6">
        <v>56.6</v>
      </c>
      <c r="BP163" s="5" t="s">
        <v>97</v>
      </c>
      <c r="BQ163" s="8">
        <v>42711</v>
      </c>
      <c r="BR163" s="5"/>
      <c r="BS163" s="9">
        <f t="shared" si="45"/>
        <v>47715.736040609139</v>
      </c>
      <c r="BT163" s="6">
        <f>F163/480/SQRT(3)</f>
        <v>56.532213858150861</v>
      </c>
      <c r="BU163" s="5">
        <v>99999999</v>
      </c>
      <c r="BV163" s="10">
        <v>99999999</v>
      </c>
      <c r="BW163" s="10">
        <v>99999999</v>
      </c>
      <c r="BX163" s="10">
        <v>99999999</v>
      </c>
      <c r="BY163" s="10">
        <v>99999999</v>
      </c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>
        <v>0</v>
      </c>
      <c r="CM163" s="9" t="s">
        <v>98</v>
      </c>
    </row>
    <row r="164" spans="1:91" ht="15.6" x14ac:dyDescent="0.3">
      <c r="A164" s="5" t="s">
        <v>122</v>
      </c>
      <c r="B164" s="22"/>
      <c r="C164" s="5"/>
      <c r="D164" s="5"/>
      <c r="E164" s="5"/>
      <c r="F164" s="5"/>
      <c r="G164" s="6"/>
      <c r="H164" s="6"/>
      <c r="I164" s="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6"/>
      <c r="BP164" s="5"/>
      <c r="BQ164" s="8"/>
      <c r="BR164" s="5"/>
      <c r="BS164" s="9">
        <v>9999999</v>
      </c>
      <c r="BT164" s="6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9"/>
      <c r="CM164" s="9"/>
    </row>
    <row r="165" spans="1:91" ht="15.6" x14ac:dyDescent="0.3">
      <c r="A165" s="11"/>
      <c r="B165" s="42"/>
      <c r="C165" s="11"/>
      <c r="D165" s="11"/>
      <c r="E165" s="11"/>
      <c r="F165" s="11"/>
      <c r="G165" s="3"/>
      <c r="H165" s="3"/>
      <c r="I165" s="3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3"/>
      <c r="BP165" s="11"/>
      <c r="BQ165" s="43"/>
      <c r="BR165" s="11"/>
      <c r="BS165" s="12"/>
      <c r="BT165" s="3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2"/>
      <c r="CM165" s="12"/>
    </row>
    <row r="166" spans="1:91" ht="15.6" x14ac:dyDescent="0.3">
      <c r="A166" s="1" t="s">
        <v>270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11"/>
      <c r="BS166" s="12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</row>
    <row r="167" spans="1:91" x14ac:dyDescent="0.3">
      <c r="A167" s="5" t="s">
        <v>1</v>
      </c>
      <c r="B167" s="5" t="s">
        <v>2</v>
      </c>
      <c r="C167" s="5" t="s">
        <v>3</v>
      </c>
      <c r="D167" s="5" t="s">
        <v>4</v>
      </c>
      <c r="E167" s="5" t="s">
        <v>5</v>
      </c>
      <c r="F167" s="5" t="s">
        <v>6</v>
      </c>
      <c r="G167" s="5" t="s">
        <v>7</v>
      </c>
      <c r="H167" s="5" t="s">
        <v>8</v>
      </c>
      <c r="I167" s="5" t="s">
        <v>9</v>
      </c>
      <c r="J167" s="5" t="s">
        <v>10</v>
      </c>
      <c r="K167" s="5" t="s">
        <v>11</v>
      </c>
      <c r="L167" s="5" t="s">
        <v>12</v>
      </c>
      <c r="M167" s="5" t="s">
        <v>13</v>
      </c>
      <c r="N167" s="5" t="s">
        <v>14</v>
      </c>
      <c r="O167" s="5" t="s">
        <v>15</v>
      </c>
      <c r="P167" s="5" t="s">
        <v>16</v>
      </c>
      <c r="Q167" s="5" t="s">
        <v>17</v>
      </c>
      <c r="R167" s="5" t="s">
        <v>18</v>
      </c>
      <c r="S167" s="5" t="s">
        <v>19</v>
      </c>
      <c r="T167" s="5" t="s">
        <v>20</v>
      </c>
      <c r="U167" s="5" t="s">
        <v>21</v>
      </c>
      <c r="V167" s="5" t="s">
        <v>22</v>
      </c>
      <c r="W167" s="5" t="s">
        <v>23</v>
      </c>
      <c r="X167" s="5" t="s">
        <v>24</v>
      </c>
      <c r="Y167" s="5" t="s">
        <v>25</v>
      </c>
      <c r="Z167" s="5" t="s">
        <v>26</v>
      </c>
      <c r="AA167" s="5" t="s">
        <v>27</v>
      </c>
      <c r="AB167" s="5" t="s">
        <v>28</v>
      </c>
      <c r="AC167" s="5" t="s">
        <v>29</v>
      </c>
      <c r="AD167" s="5" t="s">
        <v>30</v>
      </c>
      <c r="AE167" s="5" t="s">
        <v>31</v>
      </c>
      <c r="AF167" s="5" t="s">
        <v>32</v>
      </c>
      <c r="AG167" s="5" t="s">
        <v>33</v>
      </c>
      <c r="AH167" s="5" t="s">
        <v>34</v>
      </c>
      <c r="AI167" s="5" t="s">
        <v>35</v>
      </c>
      <c r="AJ167" s="5" t="s">
        <v>36</v>
      </c>
      <c r="AK167" s="5" t="s">
        <v>37</v>
      </c>
      <c r="AL167" s="5" t="s">
        <v>38</v>
      </c>
      <c r="AM167" s="5" t="s">
        <v>39</v>
      </c>
      <c r="AN167" s="5" t="s">
        <v>40</v>
      </c>
      <c r="AO167" s="5" t="s">
        <v>41</v>
      </c>
      <c r="AP167" s="5" t="s">
        <v>42</v>
      </c>
      <c r="AQ167" s="5" t="s">
        <v>43</v>
      </c>
      <c r="AR167" s="5" t="s">
        <v>44</v>
      </c>
      <c r="AS167" s="5" t="s">
        <v>45</v>
      </c>
      <c r="AT167" s="5" t="s">
        <v>46</v>
      </c>
      <c r="AU167" s="5" t="s">
        <v>47</v>
      </c>
      <c r="AV167" s="5" t="s">
        <v>48</v>
      </c>
      <c r="AW167" s="5" t="s">
        <v>49</v>
      </c>
      <c r="AX167" s="5" t="s">
        <v>50</v>
      </c>
      <c r="AY167" s="5" t="s">
        <v>51</v>
      </c>
      <c r="AZ167" s="5" t="s">
        <v>52</v>
      </c>
      <c r="BA167" s="5" t="s">
        <v>53</v>
      </c>
      <c r="BB167" s="5" t="s">
        <v>54</v>
      </c>
      <c r="BC167" s="5" t="s">
        <v>55</v>
      </c>
      <c r="BD167" s="5" t="s">
        <v>56</v>
      </c>
      <c r="BE167" s="5" t="s">
        <v>57</v>
      </c>
      <c r="BF167" s="5" t="s">
        <v>58</v>
      </c>
      <c r="BG167" s="5" t="s">
        <v>59</v>
      </c>
      <c r="BH167" s="5" t="s">
        <v>60</v>
      </c>
      <c r="BI167" s="5" t="s">
        <v>61</v>
      </c>
      <c r="BJ167" s="5" t="s">
        <v>62</v>
      </c>
      <c r="BK167" s="5" t="s">
        <v>63</v>
      </c>
      <c r="BL167" s="5" t="s">
        <v>64</v>
      </c>
      <c r="BM167" s="5" t="s">
        <v>65</v>
      </c>
      <c r="BN167" s="5" t="s">
        <v>66</v>
      </c>
      <c r="BO167" s="5" t="s">
        <v>67</v>
      </c>
      <c r="BP167" s="5" t="s">
        <v>68</v>
      </c>
      <c r="BQ167" s="5" t="s">
        <v>69</v>
      </c>
      <c r="BR167" s="5" t="s">
        <v>70</v>
      </c>
      <c r="BS167" s="5" t="s">
        <v>71</v>
      </c>
      <c r="BT167" s="5" t="s">
        <v>72</v>
      </c>
      <c r="BU167" s="5" t="s">
        <v>73</v>
      </c>
      <c r="BV167" s="5" t="s">
        <v>74</v>
      </c>
      <c r="BW167" s="5" t="s">
        <v>75</v>
      </c>
      <c r="BX167" s="5" t="s">
        <v>76</v>
      </c>
      <c r="BY167" s="5" t="s">
        <v>77</v>
      </c>
      <c r="BZ167" s="5" t="s">
        <v>78</v>
      </c>
      <c r="CA167" s="5" t="s">
        <v>79</v>
      </c>
      <c r="CB167" s="5" t="s">
        <v>80</v>
      </c>
      <c r="CC167" s="5" t="s">
        <v>81</v>
      </c>
      <c r="CD167" s="5" t="s">
        <v>82</v>
      </c>
      <c r="CE167" s="5" t="s">
        <v>83</v>
      </c>
      <c r="CF167" s="5" t="s">
        <v>84</v>
      </c>
      <c r="CG167" s="5" t="s">
        <v>85</v>
      </c>
      <c r="CH167" s="5" t="s">
        <v>86</v>
      </c>
      <c r="CI167" s="5" t="s">
        <v>87</v>
      </c>
      <c r="CJ167" s="5" t="s">
        <v>88</v>
      </c>
      <c r="CK167" s="5" t="s">
        <v>89</v>
      </c>
      <c r="CL167" s="5" t="s">
        <v>90</v>
      </c>
      <c r="CM167" s="5" t="s">
        <v>91</v>
      </c>
    </row>
    <row r="168" spans="1:91" x14ac:dyDescent="0.3">
      <c r="A168" s="5" t="s">
        <v>92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</row>
    <row r="169" spans="1:91" x14ac:dyDescent="0.3">
      <c r="A169" s="5" t="s">
        <v>271</v>
      </c>
      <c r="B169" s="5" t="s">
        <v>94</v>
      </c>
      <c r="C169" s="5">
        <v>2000</v>
      </c>
      <c r="D169" s="5">
        <v>2200</v>
      </c>
      <c r="E169" s="5">
        <f>D169*[1]Rentabiliteit!$V$74</f>
        <v>2200</v>
      </c>
      <c r="F169" s="5">
        <v>2200</v>
      </c>
      <c r="G169" s="6">
        <v>98.2</v>
      </c>
      <c r="H169" s="6">
        <v>96.7</v>
      </c>
      <c r="I169" s="13">
        <v>98.2</v>
      </c>
      <c r="J169" s="5">
        <v>2</v>
      </c>
      <c r="K169" s="5" t="s">
        <v>113</v>
      </c>
      <c r="L169" s="5">
        <v>1</v>
      </c>
      <c r="M169" s="5">
        <v>1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>
        <v>100</v>
      </c>
      <c r="AC169" s="5">
        <v>90</v>
      </c>
      <c r="AD169" s="5">
        <f>IF([1]Rentabiliteit!$M$33="nee",CS169,$CV169)</f>
        <v>0</v>
      </c>
      <c r="AE169" s="5">
        <f>IF([1]Rentabiliteit!$M$33="nee",CT169,$CV169)</f>
        <v>0</v>
      </c>
      <c r="AF169" s="5">
        <f t="shared" ref="AF169:AF196" si="48">IF(OR($K169=1,$L169="Yes"),SUM(AG169:AV169),0)</f>
        <v>0</v>
      </c>
      <c r="AG169" s="5">
        <v>12.5</v>
      </c>
      <c r="AH169" s="5">
        <v>12.5</v>
      </c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>
        <f t="shared" ref="AW169:AW196" si="49">IF(OR($K169=1,$L169="Yes"),SUM(AX169:BM169),0)</f>
        <v>0</v>
      </c>
      <c r="AX169" s="5">
        <v>18</v>
      </c>
      <c r="AY169" s="5">
        <v>18</v>
      </c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41" t="s">
        <v>96</v>
      </c>
      <c r="BO169" s="13">
        <v>10</v>
      </c>
      <c r="BP169" s="5" t="s">
        <v>133</v>
      </c>
      <c r="BQ169" s="8">
        <v>44278</v>
      </c>
      <c r="BR169" s="5"/>
      <c r="BS169" s="9">
        <f t="shared" ref="BS169:BS196" si="50">E169/(IF(I169=0,G169,I169)/100)</f>
        <v>2240.325865580448</v>
      </c>
      <c r="BT169" s="6">
        <f>F169/230</f>
        <v>9.5652173913043477</v>
      </c>
      <c r="BU169" s="5">
        <v>99999999</v>
      </c>
      <c r="BV169" s="10">
        <v>99999999</v>
      </c>
      <c r="BW169" s="10">
        <v>99999999</v>
      </c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>
        <v>0</v>
      </c>
      <c r="CM169" s="9" t="s">
        <v>272</v>
      </c>
    </row>
    <row r="170" spans="1:91" x14ac:dyDescent="0.3">
      <c r="A170" s="5" t="s">
        <v>273</v>
      </c>
      <c r="B170" s="5" t="s">
        <v>94</v>
      </c>
      <c r="C170" s="5">
        <v>3000</v>
      </c>
      <c r="D170" s="5">
        <v>3300</v>
      </c>
      <c r="E170" s="5">
        <f>D170*[1]Rentabiliteit!$V$74</f>
        <v>3300</v>
      </c>
      <c r="F170" s="5">
        <v>3300</v>
      </c>
      <c r="G170" s="6">
        <v>98.3</v>
      </c>
      <c r="H170" s="6">
        <v>97.3</v>
      </c>
      <c r="I170" s="13">
        <v>98.3</v>
      </c>
      <c r="J170" s="5">
        <v>2</v>
      </c>
      <c r="K170" s="5" t="s">
        <v>113</v>
      </c>
      <c r="L170" s="5">
        <v>1</v>
      </c>
      <c r="M170" s="5">
        <v>1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>
        <v>100</v>
      </c>
      <c r="AC170" s="5">
        <v>90</v>
      </c>
      <c r="AD170" s="5">
        <f>IF([1]Rentabiliteit!$M$33="nee",CS170,$CV170)</f>
        <v>0</v>
      </c>
      <c r="AE170" s="5">
        <f>IF([1]Rentabiliteit!$M$33="nee",CT170,$CV170)</f>
        <v>0</v>
      </c>
      <c r="AF170" s="5">
        <f t="shared" si="48"/>
        <v>0</v>
      </c>
      <c r="AG170" s="5">
        <v>12.5</v>
      </c>
      <c r="AH170" s="5">
        <v>12.5</v>
      </c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>
        <f t="shared" si="49"/>
        <v>0</v>
      </c>
      <c r="AX170" s="5">
        <v>18</v>
      </c>
      <c r="AY170" s="5">
        <v>18</v>
      </c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41" t="s">
        <v>96</v>
      </c>
      <c r="BO170" s="13">
        <v>15</v>
      </c>
      <c r="BP170" s="5" t="s">
        <v>133</v>
      </c>
      <c r="BQ170" s="8">
        <v>44278</v>
      </c>
      <c r="BR170" s="5"/>
      <c r="BS170" s="9">
        <f t="shared" si="50"/>
        <v>3357.0701932858597</v>
      </c>
      <c r="BT170" s="6">
        <f>F170/230</f>
        <v>14.347826086956522</v>
      </c>
      <c r="BU170" s="5">
        <v>99999999</v>
      </c>
      <c r="BV170" s="10">
        <v>99999999</v>
      </c>
      <c r="BW170" s="10">
        <v>99999999</v>
      </c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>
        <v>0</v>
      </c>
      <c r="CM170" s="9" t="s">
        <v>272</v>
      </c>
    </row>
    <row r="171" spans="1:91" x14ac:dyDescent="0.3">
      <c r="A171" s="5" t="s">
        <v>274</v>
      </c>
      <c r="B171" s="5" t="s">
        <v>109</v>
      </c>
      <c r="C171" s="5">
        <v>3000</v>
      </c>
      <c r="D171" s="5">
        <v>3300</v>
      </c>
      <c r="E171" s="5">
        <f>D171*[1]Rentabiliteit!$V$74</f>
        <v>3300</v>
      </c>
      <c r="F171" s="5">
        <v>3300</v>
      </c>
      <c r="G171" s="6">
        <v>98.2</v>
      </c>
      <c r="H171" s="6">
        <v>96.7</v>
      </c>
      <c r="I171" s="13">
        <v>98</v>
      </c>
      <c r="J171" s="5">
        <v>2</v>
      </c>
      <c r="K171" s="5" t="s">
        <v>113</v>
      </c>
      <c r="L171" s="5">
        <v>1</v>
      </c>
      <c r="M171" s="5">
        <v>1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>
        <v>200</v>
      </c>
      <c r="AC171" s="5">
        <v>140</v>
      </c>
      <c r="AD171" s="5">
        <v>850</v>
      </c>
      <c r="AE171" s="5">
        <v>1100</v>
      </c>
      <c r="AF171" s="5">
        <f t="shared" si="48"/>
        <v>0</v>
      </c>
      <c r="AG171" s="5">
        <v>13.5</v>
      </c>
      <c r="AH171" s="5">
        <v>13.5</v>
      </c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>
        <f t="shared" si="49"/>
        <v>0</v>
      </c>
      <c r="AX171" s="5">
        <v>19.5</v>
      </c>
      <c r="AY171" s="5">
        <v>19.5</v>
      </c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41" t="s">
        <v>96</v>
      </c>
      <c r="BO171" s="13">
        <v>15.3</v>
      </c>
      <c r="BP171" s="5" t="s">
        <v>133</v>
      </c>
      <c r="BQ171" s="8">
        <v>44566</v>
      </c>
      <c r="BR171" s="5"/>
      <c r="BS171" s="9">
        <f t="shared" si="50"/>
        <v>3367.3469387755104</v>
      </c>
      <c r="BT171" s="6">
        <f>F171/400/SQRT(3)</f>
        <v>4.7631397208144124</v>
      </c>
      <c r="BU171" s="5">
        <v>99999999</v>
      </c>
      <c r="BV171" s="10">
        <v>99999999</v>
      </c>
      <c r="BW171" s="10">
        <v>99999999</v>
      </c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>
        <v>0</v>
      </c>
      <c r="CM171" s="9" t="s">
        <v>272</v>
      </c>
    </row>
    <row r="172" spans="1:91" x14ac:dyDescent="0.3">
      <c r="A172" s="5" t="s">
        <v>275</v>
      </c>
      <c r="B172" s="5" t="s">
        <v>94</v>
      </c>
      <c r="C172" s="5">
        <v>4000</v>
      </c>
      <c r="D172" s="5">
        <v>4400</v>
      </c>
      <c r="E172" s="5">
        <f>D172*[1]Rentabiliteit!$V$74</f>
        <v>4400</v>
      </c>
      <c r="F172" s="5">
        <v>4400</v>
      </c>
      <c r="G172" s="6">
        <v>98.4</v>
      </c>
      <c r="H172" s="6">
        <v>97.5</v>
      </c>
      <c r="I172" s="13">
        <v>98.1</v>
      </c>
      <c r="J172" s="5">
        <v>2</v>
      </c>
      <c r="K172" s="5" t="s">
        <v>113</v>
      </c>
      <c r="L172" s="5">
        <v>1</v>
      </c>
      <c r="M172" s="5">
        <v>1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>
        <v>100</v>
      </c>
      <c r="AC172" s="5">
        <v>90</v>
      </c>
      <c r="AD172" s="5">
        <f>IF([1]Rentabiliteit!$M$33="nee",CS172,$CV172)</f>
        <v>0</v>
      </c>
      <c r="AE172" s="5">
        <f>IF([1]Rentabiliteit!$M$33="nee",CT172,$CV172)</f>
        <v>0</v>
      </c>
      <c r="AF172" s="5">
        <f t="shared" si="48"/>
        <v>0</v>
      </c>
      <c r="AG172" s="5">
        <v>12.5</v>
      </c>
      <c r="AH172" s="5">
        <v>12.5</v>
      </c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>
        <f t="shared" si="49"/>
        <v>0</v>
      </c>
      <c r="AX172" s="5">
        <v>18</v>
      </c>
      <c r="AY172" s="5">
        <v>18</v>
      </c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41" t="s">
        <v>96</v>
      </c>
      <c r="BO172" s="13">
        <v>20</v>
      </c>
      <c r="BP172" s="5" t="s">
        <v>133</v>
      </c>
      <c r="BQ172" s="8">
        <v>44278</v>
      </c>
      <c r="BR172" s="5"/>
      <c r="BS172" s="9">
        <f t="shared" si="50"/>
        <v>4485.2191641182471</v>
      </c>
      <c r="BT172" s="6">
        <f>F172/230</f>
        <v>19.130434782608695</v>
      </c>
      <c r="BU172" s="5">
        <v>99999999</v>
      </c>
      <c r="BV172" s="10">
        <v>99999999</v>
      </c>
      <c r="BW172" s="10">
        <v>99999999</v>
      </c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>
        <v>0</v>
      </c>
      <c r="CM172" s="9" t="s">
        <v>272</v>
      </c>
    </row>
    <row r="173" spans="1:91" x14ac:dyDescent="0.3">
      <c r="A173" s="5" t="s">
        <v>276</v>
      </c>
      <c r="B173" s="5" t="s">
        <v>109</v>
      </c>
      <c r="C173" s="5">
        <v>4000</v>
      </c>
      <c r="D173" s="5">
        <v>4400</v>
      </c>
      <c r="E173" s="5">
        <f>D173*[1]Rentabiliteit!$V$74</f>
        <v>4400</v>
      </c>
      <c r="F173" s="5">
        <v>4400</v>
      </c>
      <c r="G173" s="6">
        <v>98.3</v>
      </c>
      <c r="H173" s="6">
        <v>97.1</v>
      </c>
      <c r="I173" s="13">
        <v>98.1</v>
      </c>
      <c r="J173" s="5">
        <v>2</v>
      </c>
      <c r="K173" s="5" t="s">
        <v>113</v>
      </c>
      <c r="L173" s="5">
        <v>1</v>
      </c>
      <c r="M173" s="5">
        <v>1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>
        <v>200</v>
      </c>
      <c r="AC173" s="5">
        <v>140</v>
      </c>
      <c r="AD173" s="5">
        <v>850</v>
      </c>
      <c r="AE173" s="5">
        <v>1100</v>
      </c>
      <c r="AF173" s="5">
        <f t="shared" si="48"/>
        <v>0</v>
      </c>
      <c r="AG173" s="5">
        <v>13.5</v>
      </c>
      <c r="AH173" s="5">
        <v>13.5</v>
      </c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>
        <f t="shared" si="49"/>
        <v>0</v>
      </c>
      <c r="AX173" s="5">
        <v>19.5</v>
      </c>
      <c r="AY173" s="5">
        <v>19.5</v>
      </c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41" t="s">
        <v>96</v>
      </c>
      <c r="BO173" s="13">
        <v>20.399999999999999</v>
      </c>
      <c r="BP173" s="5" t="s">
        <v>133</v>
      </c>
      <c r="BQ173" s="8">
        <v>44566</v>
      </c>
      <c r="BR173" s="5"/>
      <c r="BS173" s="9">
        <f t="shared" si="50"/>
        <v>4485.2191641182471</v>
      </c>
      <c r="BT173" s="6">
        <f>F173/400/SQRT(3)</f>
        <v>6.3508529610858835</v>
      </c>
      <c r="BU173" s="5">
        <v>99999999</v>
      </c>
      <c r="BV173" s="10">
        <v>99999999</v>
      </c>
      <c r="BW173" s="10">
        <v>99999999</v>
      </c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>
        <v>0</v>
      </c>
      <c r="CM173" s="9" t="s">
        <v>272</v>
      </c>
    </row>
    <row r="174" spans="1:91" x14ac:dyDescent="0.3">
      <c r="A174" s="5" t="s">
        <v>277</v>
      </c>
      <c r="B174" s="5" t="s">
        <v>94</v>
      </c>
      <c r="C174" s="5">
        <v>4600</v>
      </c>
      <c r="D174" s="5">
        <v>5000</v>
      </c>
      <c r="E174" s="5">
        <f>D174*[1]Rentabiliteit!$V$74</f>
        <v>5000</v>
      </c>
      <c r="F174" s="5">
        <v>5000</v>
      </c>
      <c r="G174" s="6">
        <v>98.4</v>
      </c>
      <c r="H174" s="6">
        <v>97.7</v>
      </c>
      <c r="I174" s="13">
        <v>98.1</v>
      </c>
      <c r="J174" s="5">
        <v>2</v>
      </c>
      <c r="K174" s="5" t="s">
        <v>113</v>
      </c>
      <c r="L174" s="5">
        <v>1</v>
      </c>
      <c r="M174" s="5">
        <v>1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>
        <v>100</v>
      </c>
      <c r="AC174" s="5">
        <v>90</v>
      </c>
      <c r="AD174" s="5">
        <f>IF([1]Rentabiliteit!$M$33="nee",CS174,$CV174)</f>
        <v>0</v>
      </c>
      <c r="AE174" s="5">
        <f>IF([1]Rentabiliteit!$M$33="nee",CT174,$CV174)</f>
        <v>0</v>
      </c>
      <c r="AF174" s="5">
        <f t="shared" si="48"/>
        <v>0</v>
      </c>
      <c r="AG174" s="5">
        <v>12.5</v>
      </c>
      <c r="AH174" s="5">
        <v>12.5</v>
      </c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>
        <f t="shared" si="49"/>
        <v>0</v>
      </c>
      <c r="AX174" s="5">
        <v>18</v>
      </c>
      <c r="AY174" s="5">
        <v>18</v>
      </c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41" t="s">
        <v>96</v>
      </c>
      <c r="BO174" s="13">
        <v>23</v>
      </c>
      <c r="BP174" s="5" t="s">
        <v>133</v>
      </c>
      <c r="BQ174" s="8">
        <v>44278</v>
      </c>
      <c r="BR174" s="5"/>
      <c r="BS174" s="9">
        <f t="shared" si="50"/>
        <v>5096.8399592252808</v>
      </c>
      <c r="BT174" s="6">
        <f>F174/230</f>
        <v>21.739130434782609</v>
      </c>
      <c r="BU174" s="5">
        <v>99999999</v>
      </c>
      <c r="BV174" s="10">
        <v>99999999</v>
      </c>
      <c r="BW174" s="10">
        <v>99999999</v>
      </c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>
        <v>0</v>
      </c>
      <c r="CM174" s="9" t="s">
        <v>272</v>
      </c>
    </row>
    <row r="175" spans="1:91" x14ac:dyDescent="0.3">
      <c r="A175" s="5" t="s">
        <v>278</v>
      </c>
      <c r="B175" s="5" t="s">
        <v>109</v>
      </c>
      <c r="C175" s="5">
        <v>5000</v>
      </c>
      <c r="D175" s="5">
        <v>5500</v>
      </c>
      <c r="E175" s="5">
        <f>D175*[1]Rentabiliteit!$V$74</f>
        <v>5500</v>
      </c>
      <c r="F175" s="5">
        <v>5500</v>
      </c>
      <c r="G175" s="6">
        <v>98.4</v>
      </c>
      <c r="H175" s="6">
        <v>97.5</v>
      </c>
      <c r="I175" s="13">
        <v>98.2</v>
      </c>
      <c r="J175" s="5">
        <v>2</v>
      </c>
      <c r="K175" s="5" t="s">
        <v>113</v>
      </c>
      <c r="L175" s="5">
        <v>1</v>
      </c>
      <c r="M175" s="5">
        <v>1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>
        <v>200</v>
      </c>
      <c r="AC175" s="5">
        <v>140</v>
      </c>
      <c r="AD175" s="5">
        <v>850</v>
      </c>
      <c r="AE175" s="5">
        <v>1100</v>
      </c>
      <c r="AF175" s="5">
        <f t="shared" si="48"/>
        <v>0</v>
      </c>
      <c r="AG175" s="5">
        <v>13.5</v>
      </c>
      <c r="AH175" s="5">
        <v>13.5</v>
      </c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>
        <f t="shared" si="49"/>
        <v>0</v>
      </c>
      <c r="AX175" s="5">
        <v>19.5</v>
      </c>
      <c r="AY175" s="5">
        <v>19.5</v>
      </c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41" t="s">
        <v>96</v>
      </c>
      <c r="BO175" s="13">
        <v>25.5</v>
      </c>
      <c r="BP175" s="5" t="s">
        <v>133</v>
      </c>
      <c r="BQ175" s="8">
        <v>44566</v>
      </c>
      <c r="BR175" s="5"/>
      <c r="BS175" s="9">
        <f t="shared" si="50"/>
        <v>5600.8146639511206</v>
      </c>
      <c r="BT175" s="6">
        <f t="shared" ref="BT175:BT192" si="51">F175/400/SQRT(3)</f>
        <v>7.9385662013573546</v>
      </c>
      <c r="BU175" s="5">
        <v>99999999</v>
      </c>
      <c r="BV175" s="10">
        <v>99999999</v>
      </c>
      <c r="BW175" s="10">
        <v>99999999</v>
      </c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>
        <v>0</v>
      </c>
      <c r="CM175" s="9" t="s">
        <v>272</v>
      </c>
    </row>
    <row r="176" spans="1:91" x14ac:dyDescent="0.3">
      <c r="A176" s="5" t="s">
        <v>279</v>
      </c>
      <c r="B176" s="5" t="s">
        <v>109</v>
      </c>
      <c r="C176" s="5">
        <v>6000</v>
      </c>
      <c r="D176" s="5">
        <v>6600</v>
      </c>
      <c r="E176" s="5">
        <f>D176*[1]Rentabiliteit!$V$74</f>
        <v>6600</v>
      </c>
      <c r="F176" s="5">
        <v>6600</v>
      </c>
      <c r="G176" s="6">
        <v>98.6</v>
      </c>
      <c r="H176" s="6">
        <v>97.7</v>
      </c>
      <c r="I176" s="13">
        <v>98.3</v>
      </c>
      <c r="J176" s="5">
        <v>2</v>
      </c>
      <c r="K176" s="5" t="s">
        <v>113</v>
      </c>
      <c r="L176" s="5">
        <v>1</v>
      </c>
      <c r="M176" s="5">
        <v>1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>
        <v>200</v>
      </c>
      <c r="AC176" s="5">
        <v>140</v>
      </c>
      <c r="AD176" s="5">
        <v>850</v>
      </c>
      <c r="AE176" s="5">
        <v>1100</v>
      </c>
      <c r="AF176" s="5">
        <f t="shared" si="48"/>
        <v>0</v>
      </c>
      <c r="AG176" s="5">
        <v>13.5</v>
      </c>
      <c r="AH176" s="5">
        <v>13.5</v>
      </c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>
        <f t="shared" si="49"/>
        <v>0</v>
      </c>
      <c r="AX176" s="5">
        <v>19.5</v>
      </c>
      <c r="AY176" s="5">
        <v>19.5</v>
      </c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41" t="s">
        <v>96</v>
      </c>
      <c r="BO176" s="13">
        <v>10.1</v>
      </c>
      <c r="BP176" s="5" t="s">
        <v>133</v>
      </c>
      <c r="BQ176" s="8">
        <v>44566</v>
      </c>
      <c r="BR176" s="5"/>
      <c r="BS176" s="9">
        <f t="shared" si="50"/>
        <v>6714.1403865717193</v>
      </c>
      <c r="BT176" s="6">
        <f t="shared" si="51"/>
        <v>9.5262794416288248</v>
      </c>
      <c r="BU176" s="5">
        <v>99999999</v>
      </c>
      <c r="BV176" s="10">
        <v>99999999</v>
      </c>
      <c r="BW176" s="10">
        <v>99999999</v>
      </c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>
        <v>0</v>
      </c>
      <c r="CM176" s="9" t="s">
        <v>272</v>
      </c>
    </row>
    <row r="177" spans="1:91" x14ac:dyDescent="0.3">
      <c r="A177" s="5" t="s">
        <v>280</v>
      </c>
      <c r="B177" s="5" t="s">
        <v>109</v>
      </c>
      <c r="C177" s="5">
        <v>8000</v>
      </c>
      <c r="D177" s="5">
        <v>8800</v>
      </c>
      <c r="E177" s="5">
        <f>D177*[1]Rentabiliteit!$V$74</f>
        <v>8800</v>
      </c>
      <c r="F177" s="5">
        <v>8800</v>
      </c>
      <c r="G177" s="6">
        <v>98.6</v>
      </c>
      <c r="H177" s="6">
        <v>98</v>
      </c>
      <c r="I177" s="13">
        <v>98.4</v>
      </c>
      <c r="J177" s="5">
        <v>2</v>
      </c>
      <c r="K177" s="5" t="s">
        <v>113</v>
      </c>
      <c r="L177" s="5">
        <v>1</v>
      </c>
      <c r="M177" s="5">
        <v>1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>
        <v>200</v>
      </c>
      <c r="AC177" s="5">
        <v>140</v>
      </c>
      <c r="AD177" s="5">
        <v>850</v>
      </c>
      <c r="AE177" s="5">
        <v>1100</v>
      </c>
      <c r="AF177" s="5">
        <f t="shared" si="48"/>
        <v>0</v>
      </c>
      <c r="AG177" s="5">
        <v>13.5</v>
      </c>
      <c r="AH177" s="5">
        <v>13.5</v>
      </c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>
        <f t="shared" si="49"/>
        <v>0</v>
      </c>
      <c r="AX177" s="5">
        <v>19.5</v>
      </c>
      <c r="AY177" s="5">
        <v>19.5</v>
      </c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41" t="s">
        <v>96</v>
      </c>
      <c r="BO177" s="13">
        <v>13.5</v>
      </c>
      <c r="BP177" s="5" t="s">
        <v>133</v>
      </c>
      <c r="BQ177" s="8">
        <v>44566</v>
      </c>
      <c r="BR177" s="5"/>
      <c r="BS177" s="9">
        <f t="shared" si="50"/>
        <v>8943.089430894308</v>
      </c>
      <c r="BT177" s="6">
        <f t="shared" si="51"/>
        <v>12.701705922171767</v>
      </c>
      <c r="BU177" s="5">
        <v>99999999</v>
      </c>
      <c r="BV177" s="10">
        <v>99999999</v>
      </c>
      <c r="BW177" s="10">
        <v>99999999</v>
      </c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>
        <v>0</v>
      </c>
      <c r="CM177" s="9" t="s">
        <v>272</v>
      </c>
    </row>
    <row r="178" spans="1:91" x14ac:dyDescent="0.3">
      <c r="A178" s="5" t="s">
        <v>281</v>
      </c>
      <c r="B178" s="5" t="s">
        <v>109</v>
      </c>
      <c r="C178" s="5">
        <v>10000</v>
      </c>
      <c r="D178" s="5">
        <v>10000</v>
      </c>
      <c r="E178" s="5">
        <f>D178*[1]Rentabiliteit!$V$74</f>
        <v>10000</v>
      </c>
      <c r="F178" s="5">
        <f>E178*[1]Rentabiliteit!$V$74</f>
        <v>10000</v>
      </c>
      <c r="G178" s="6">
        <v>98.6</v>
      </c>
      <c r="H178" s="6">
        <v>98.1</v>
      </c>
      <c r="I178" s="13">
        <v>98.4</v>
      </c>
      <c r="J178" s="5">
        <v>2</v>
      </c>
      <c r="K178" s="5" t="s">
        <v>113</v>
      </c>
      <c r="L178" s="5">
        <v>1</v>
      </c>
      <c r="M178" s="5">
        <v>1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>
        <v>200</v>
      </c>
      <c r="AC178" s="5">
        <v>140</v>
      </c>
      <c r="AD178" s="5">
        <v>850</v>
      </c>
      <c r="AE178" s="5">
        <v>1100</v>
      </c>
      <c r="AF178" s="5">
        <f t="shared" si="48"/>
        <v>0</v>
      </c>
      <c r="AG178" s="5">
        <v>13.5</v>
      </c>
      <c r="AH178" s="5">
        <v>13.5</v>
      </c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>
        <f t="shared" si="49"/>
        <v>0</v>
      </c>
      <c r="AX178" s="5">
        <v>19.5</v>
      </c>
      <c r="AY178" s="5">
        <v>19.5</v>
      </c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41" t="s">
        <v>96</v>
      </c>
      <c r="BO178" s="13">
        <v>16.899999999999999</v>
      </c>
      <c r="BP178" s="5" t="s">
        <v>171</v>
      </c>
      <c r="BQ178" s="8">
        <v>45321</v>
      </c>
      <c r="BR178" s="5"/>
      <c r="BS178" s="9">
        <f t="shared" si="50"/>
        <v>10162.60162601626</v>
      </c>
      <c r="BT178" s="6">
        <f t="shared" si="51"/>
        <v>14.433756729740645</v>
      </c>
      <c r="BU178" s="5">
        <v>99999999</v>
      </c>
      <c r="BV178" s="10">
        <v>99999999</v>
      </c>
      <c r="BW178" s="10">
        <v>99999999</v>
      </c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>
        <v>0</v>
      </c>
      <c r="CM178" s="9" t="s">
        <v>272</v>
      </c>
    </row>
    <row r="179" spans="1:91" x14ac:dyDescent="0.3">
      <c r="A179" s="5" t="s">
        <v>282</v>
      </c>
      <c r="B179" s="5" t="s">
        <v>109</v>
      </c>
      <c r="C179" s="5">
        <v>12000</v>
      </c>
      <c r="D179" s="5">
        <v>13200</v>
      </c>
      <c r="E179" s="5">
        <f>D179*[1]Rentabiliteit!$V$74</f>
        <v>13200</v>
      </c>
      <c r="F179" s="5">
        <v>13200</v>
      </c>
      <c r="G179" s="6">
        <v>98.4</v>
      </c>
      <c r="H179" s="6">
        <v>97.9</v>
      </c>
      <c r="I179" s="13">
        <v>98.4</v>
      </c>
      <c r="J179" s="5">
        <v>2</v>
      </c>
      <c r="K179" s="5" t="s">
        <v>113</v>
      </c>
      <c r="L179" s="5">
        <v>2</v>
      </c>
      <c r="M179" s="5">
        <v>2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>
        <v>200</v>
      </c>
      <c r="AC179" s="5">
        <v>370</v>
      </c>
      <c r="AD179" s="5">
        <v>800</v>
      </c>
      <c r="AE179" s="5">
        <v>1100</v>
      </c>
      <c r="AF179" s="5">
        <f t="shared" si="48"/>
        <v>0</v>
      </c>
      <c r="AG179" s="5">
        <v>30</v>
      </c>
      <c r="AH179" s="5">
        <v>30</v>
      </c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>
        <f t="shared" si="49"/>
        <v>0</v>
      </c>
      <c r="AX179" s="5">
        <v>40</v>
      </c>
      <c r="AY179" s="5">
        <v>40</v>
      </c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41" t="s">
        <v>96</v>
      </c>
      <c r="BO179" s="13">
        <v>18.2</v>
      </c>
      <c r="BP179" s="5" t="s">
        <v>171</v>
      </c>
      <c r="BQ179" s="8">
        <v>45321</v>
      </c>
      <c r="BR179" s="5"/>
      <c r="BS179" s="9">
        <f t="shared" si="50"/>
        <v>13414.634146341463</v>
      </c>
      <c r="BT179" s="6">
        <f t="shared" si="51"/>
        <v>19.05255888325765</v>
      </c>
      <c r="BU179" s="5">
        <v>99999999</v>
      </c>
      <c r="BV179" s="10">
        <v>99999999</v>
      </c>
      <c r="BW179" s="10">
        <v>99999999</v>
      </c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>
        <v>0</v>
      </c>
      <c r="CM179" s="9" t="s">
        <v>272</v>
      </c>
    </row>
    <row r="180" spans="1:91" x14ac:dyDescent="0.3">
      <c r="A180" s="5" t="s">
        <v>283</v>
      </c>
      <c r="B180" s="5" t="s">
        <v>109</v>
      </c>
      <c r="C180" s="5">
        <v>15000</v>
      </c>
      <c r="D180" s="5">
        <v>16500</v>
      </c>
      <c r="E180" s="5">
        <v>16500</v>
      </c>
      <c r="F180" s="5">
        <v>16500</v>
      </c>
      <c r="G180" s="6">
        <v>98.4</v>
      </c>
      <c r="H180" s="6">
        <v>98</v>
      </c>
      <c r="I180" s="13">
        <v>98.4</v>
      </c>
      <c r="J180" s="5">
        <v>2</v>
      </c>
      <c r="K180" s="5" t="s">
        <v>113</v>
      </c>
      <c r="L180" s="5">
        <v>2</v>
      </c>
      <c r="M180" s="5">
        <v>2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>
        <v>200</v>
      </c>
      <c r="AC180" s="5">
        <v>410</v>
      </c>
      <c r="AD180" s="5">
        <v>800</v>
      </c>
      <c r="AE180" s="5">
        <v>1100</v>
      </c>
      <c r="AF180" s="5">
        <f t="shared" si="48"/>
        <v>0</v>
      </c>
      <c r="AG180" s="5">
        <v>30</v>
      </c>
      <c r="AH180" s="5">
        <v>30</v>
      </c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>
        <f t="shared" si="49"/>
        <v>0</v>
      </c>
      <c r="AX180" s="5">
        <v>40</v>
      </c>
      <c r="AY180" s="5">
        <v>40</v>
      </c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41" t="s">
        <v>96</v>
      </c>
      <c r="BO180" s="13">
        <v>25.2</v>
      </c>
      <c r="BP180" s="5" t="s">
        <v>171</v>
      </c>
      <c r="BQ180" s="8">
        <v>45321</v>
      </c>
      <c r="BR180" s="5"/>
      <c r="BS180" s="9">
        <f t="shared" si="50"/>
        <v>16768.292682926829</v>
      </c>
      <c r="BT180" s="6">
        <f t="shared" si="51"/>
        <v>23.815698604072065</v>
      </c>
      <c r="BU180" s="5">
        <v>99999999</v>
      </c>
      <c r="BV180" s="10">
        <v>99999999</v>
      </c>
      <c r="BW180" s="10">
        <v>99999999</v>
      </c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>
        <v>0</v>
      </c>
      <c r="CM180" s="9" t="s">
        <v>272</v>
      </c>
    </row>
    <row r="181" spans="1:91" x14ac:dyDescent="0.3">
      <c r="A181" s="5" t="s">
        <v>284</v>
      </c>
      <c r="B181" s="5" t="s">
        <v>109</v>
      </c>
      <c r="C181" s="5">
        <v>17000</v>
      </c>
      <c r="D181" s="5">
        <v>18700</v>
      </c>
      <c r="E181" s="5">
        <f>D181*[1]Rentabiliteit!$V$74</f>
        <v>18700</v>
      </c>
      <c r="F181" s="5">
        <v>18700</v>
      </c>
      <c r="G181" s="6">
        <v>98.4</v>
      </c>
      <c r="H181" s="6">
        <v>98.1</v>
      </c>
      <c r="I181" s="13">
        <v>98.4</v>
      </c>
      <c r="J181" s="5">
        <v>2</v>
      </c>
      <c r="K181" s="5" t="s">
        <v>113</v>
      </c>
      <c r="L181" s="5">
        <v>2</v>
      </c>
      <c r="M181" s="5">
        <v>2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>
        <v>200</v>
      </c>
      <c r="AC181" s="5">
        <v>440</v>
      </c>
      <c r="AD181" s="5">
        <v>800</v>
      </c>
      <c r="AE181" s="5">
        <v>1100</v>
      </c>
      <c r="AF181" s="5">
        <f t="shared" si="48"/>
        <v>0</v>
      </c>
      <c r="AG181" s="5">
        <v>30</v>
      </c>
      <c r="AH181" s="5">
        <v>30</v>
      </c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>
        <f t="shared" si="49"/>
        <v>0</v>
      </c>
      <c r="AX181" s="5">
        <v>40</v>
      </c>
      <c r="AY181" s="5">
        <v>40</v>
      </c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41" t="s">
        <v>96</v>
      </c>
      <c r="BO181" s="13">
        <v>28.6</v>
      </c>
      <c r="BP181" s="5" t="s">
        <v>171</v>
      </c>
      <c r="BQ181" s="8">
        <v>45321</v>
      </c>
      <c r="BR181" s="5"/>
      <c r="BS181" s="9">
        <f t="shared" si="50"/>
        <v>19004.065040650406</v>
      </c>
      <c r="BT181" s="6">
        <f t="shared" si="51"/>
        <v>26.991125084615007</v>
      </c>
      <c r="BU181" s="5">
        <v>99999999</v>
      </c>
      <c r="BV181" s="10">
        <v>99999999</v>
      </c>
      <c r="BW181" s="10">
        <v>99999999</v>
      </c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>
        <v>0</v>
      </c>
      <c r="CM181" s="9" t="s">
        <v>272</v>
      </c>
    </row>
    <row r="182" spans="1:91" x14ac:dyDescent="0.3">
      <c r="A182" s="5" t="s">
        <v>285</v>
      </c>
      <c r="B182" s="5" t="s">
        <v>109</v>
      </c>
      <c r="C182" s="5">
        <v>20000</v>
      </c>
      <c r="D182" s="5">
        <v>22000</v>
      </c>
      <c r="E182" s="5">
        <f>D182*[1]Rentabiliteit!$V$74</f>
        <v>22000</v>
      </c>
      <c r="F182" s="5">
        <v>22000</v>
      </c>
      <c r="G182" s="6">
        <v>98.4</v>
      </c>
      <c r="H182" s="6">
        <v>98.1</v>
      </c>
      <c r="I182" s="13">
        <v>98.3</v>
      </c>
      <c r="J182" s="5">
        <v>2</v>
      </c>
      <c r="K182" s="5" t="s">
        <v>113</v>
      </c>
      <c r="L182" s="5">
        <v>2</v>
      </c>
      <c r="M182" s="5">
        <v>2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>
        <v>200</v>
      </c>
      <c r="AC182" s="5">
        <v>480</v>
      </c>
      <c r="AD182" s="5">
        <v>800</v>
      </c>
      <c r="AE182" s="5">
        <v>1100</v>
      </c>
      <c r="AF182" s="5">
        <f t="shared" si="48"/>
        <v>0</v>
      </c>
      <c r="AG182" s="5">
        <v>30</v>
      </c>
      <c r="AH182" s="5">
        <v>30</v>
      </c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>
        <f t="shared" si="49"/>
        <v>0</v>
      </c>
      <c r="AX182" s="5">
        <v>40</v>
      </c>
      <c r="AY182" s="5">
        <v>40</v>
      </c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41" t="s">
        <v>96</v>
      </c>
      <c r="BO182" s="13">
        <v>33.6</v>
      </c>
      <c r="BP182" s="5" t="s">
        <v>171</v>
      </c>
      <c r="BQ182" s="8">
        <v>45321</v>
      </c>
      <c r="BR182" s="5"/>
      <c r="BS182" s="9">
        <f t="shared" si="50"/>
        <v>22380.467955239066</v>
      </c>
      <c r="BT182" s="6">
        <f t="shared" si="51"/>
        <v>31.754264805429418</v>
      </c>
      <c r="BU182" s="5">
        <v>99999999</v>
      </c>
      <c r="BV182" s="10">
        <v>99999999</v>
      </c>
      <c r="BW182" s="10">
        <v>99999999</v>
      </c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>
        <v>0</v>
      </c>
      <c r="CM182" s="9" t="s">
        <v>272</v>
      </c>
    </row>
    <row r="183" spans="1:91" x14ac:dyDescent="0.3">
      <c r="A183" s="5" t="s">
        <v>286</v>
      </c>
      <c r="B183" s="5" t="s">
        <v>109</v>
      </c>
      <c r="C183" s="5">
        <v>25000</v>
      </c>
      <c r="D183" s="5">
        <v>27500</v>
      </c>
      <c r="E183" s="5">
        <f>D183*[1]Rentabiliteit!$V$74</f>
        <v>27500</v>
      </c>
      <c r="F183" s="5">
        <v>27500</v>
      </c>
      <c r="G183" s="6">
        <v>98.4</v>
      </c>
      <c r="H183" s="6">
        <v>98.2</v>
      </c>
      <c r="I183" s="13">
        <v>98.3</v>
      </c>
      <c r="J183" s="5">
        <v>2</v>
      </c>
      <c r="K183" s="5" t="s">
        <v>113</v>
      </c>
      <c r="L183" s="5">
        <v>2</v>
      </c>
      <c r="M183" s="5">
        <v>2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>
        <v>200</v>
      </c>
      <c r="AC183" s="5">
        <v>530</v>
      </c>
      <c r="AD183" s="5">
        <v>800</v>
      </c>
      <c r="AE183" s="5">
        <v>1100</v>
      </c>
      <c r="AF183" s="5">
        <f t="shared" si="48"/>
        <v>0</v>
      </c>
      <c r="AG183" s="5">
        <v>30</v>
      </c>
      <c r="AH183" s="5">
        <v>30</v>
      </c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>
        <f t="shared" si="49"/>
        <v>0</v>
      </c>
      <c r="AX183" s="5">
        <v>40</v>
      </c>
      <c r="AY183" s="5">
        <v>40</v>
      </c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41" t="s">
        <v>96</v>
      </c>
      <c r="BO183" s="13">
        <v>42</v>
      </c>
      <c r="BP183" s="5" t="s">
        <v>171</v>
      </c>
      <c r="BQ183" s="8">
        <v>45321</v>
      </c>
      <c r="BR183" s="5"/>
      <c r="BS183" s="9">
        <f t="shared" si="50"/>
        <v>27975.584944048831</v>
      </c>
      <c r="BT183" s="6">
        <f t="shared" si="51"/>
        <v>39.692831006786776</v>
      </c>
      <c r="BU183" s="5">
        <v>99999999</v>
      </c>
      <c r="BV183" s="10">
        <v>99999999</v>
      </c>
      <c r="BW183" s="10">
        <v>99999999</v>
      </c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>
        <v>0</v>
      </c>
      <c r="CM183" s="9" t="s">
        <v>272</v>
      </c>
    </row>
    <row r="184" spans="1:91" x14ac:dyDescent="0.3">
      <c r="A184" s="5" t="s">
        <v>287</v>
      </c>
      <c r="B184" s="5" t="s">
        <v>109</v>
      </c>
      <c r="C184" s="5">
        <v>30000</v>
      </c>
      <c r="D184" s="14">
        <v>33000</v>
      </c>
      <c r="E184" s="5">
        <f>D184*[1]Rentabiliteit!$V$74</f>
        <v>33000</v>
      </c>
      <c r="F184" s="5">
        <v>33000</v>
      </c>
      <c r="G184" s="6">
        <v>98.7</v>
      </c>
      <c r="H184" s="6">
        <v>98.4</v>
      </c>
      <c r="I184" s="13">
        <v>98.3</v>
      </c>
      <c r="J184" s="5">
        <v>4</v>
      </c>
      <c r="K184" s="5" t="s">
        <v>113</v>
      </c>
      <c r="L184" s="5">
        <v>2</v>
      </c>
      <c r="M184" s="5">
        <v>2</v>
      </c>
      <c r="N184" s="5">
        <v>2</v>
      </c>
      <c r="O184" s="5">
        <v>2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>
        <v>200</v>
      </c>
      <c r="AC184" s="5">
        <v>200</v>
      </c>
      <c r="AD184" s="44">
        <v>850</v>
      </c>
      <c r="AE184" s="5">
        <v>1100</v>
      </c>
      <c r="AF184" s="5">
        <f t="shared" si="48"/>
        <v>0</v>
      </c>
      <c r="AG184" s="5">
        <v>26</v>
      </c>
      <c r="AH184" s="5">
        <v>26</v>
      </c>
      <c r="AI184" s="5">
        <v>26</v>
      </c>
      <c r="AJ184" s="5">
        <v>26</v>
      </c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>
        <f t="shared" si="49"/>
        <v>0</v>
      </c>
      <c r="AX184" s="5">
        <v>40</v>
      </c>
      <c r="AY184" s="5">
        <v>40</v>
      </c>
      <c r="AZ184" s="5">
        <v>40</v>
      </c>
      <c r="BA184" s="5">
        <v>40</v>
      </c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41" t="s">
        <v>96</v>
      </c>
      <c r="BO184" s="13">
        <v>47.9</v>
      </c>
      <c r="BP184" s="5" t="s">
        <v>133</v>
      </c>
      <c r="BQ184" s="8">
        <v>44278</v>
      </c>
      <c r="BR184" s="5"/>
      <c r="BS184" s="9">
        <f t="shared" si="50"/>
        <v>33570.701932858596</v>
      </c>
      <c r="BT184" s="6">
        <f t="shared" si="51"/>
        <v>47.631397208144129</v>
      </c>
      <c r="BU184" s="5">
        <v>99999999</v>
      </c>
      <c r="BV184" s="10">
        <v>99999999</v>
      </c>
      <c r="BW184" s="10">
        <v>99999999</v>
      </c>
      <c r="BX184" s="10">
        <v>99999999</v>
      </c>
      <c r="BY184" s="10">
        <v>99999999</v>
      </c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>
        <v>0</v>
      </c>
      <c r="CM184" s="9" t="s">
        <v>288</v>
      </c>
    </row>
    <row r="185" spans="1:91" x14ac:dyDescent="0.3">
      <c r="A185" s="5" t="s">
        <v>289</v>
      </c>
      <c r="B185" s="5" t="s">
        <v>109</v>
      </c>
      <c r="C185" s="5">
        <v>36000</v>
      </c>
      <c r="D185" s="14">
        <v>40000</v>
      </c>
      <c r="E185" s="5">
        <f>D185*[1]Rentabiliteit!$V$74</f>
        <v>40000</v>
      </c>
      <c r="F185" s="5">
        <v>40000</v>
      </c>
      <c r="G185" s="6">
        <v>98.7</v>
      </c>
      <c r="H185" s="6">
        <v>98.4</v>
      </c>
      <c r="I185" s="13">
        <v>98.3</v>
      </c>
      <c r="J185" s="5">
        <v>4</v>
      </c>
      <c r="K185" s="5" t="s">
        <v>113</v>
      </c>
      <c r="L185" s="5">
        <v>2</v>
      </c>
      <c r="M185" s="5">
        <v>2</v>
      </c>
      <c r="N185" s="5">
        <v>2</v>
      </c>
      <c r="O185" s="5">
        <v>2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>
        <v>200</v>
      </c>
      <c r="AC185" s="5">
        <v>200</v>
      </c>
      <c r="AD185" s="44">
        <v>800</v>
      </c>
      <c r="AE185" s="5">
        <v>1100</v>
      </c>
      <c r="AF185" s="5">
        <f t="shared" si="48"/>
        <v>0</v>
      </c>
      <c r="AG185" s="5">
        <v>26</v>
      </c>
      <c r="AH185" s="5">
        <v>26</v>
      </c>
      <c r="AI185" s="5">
        <v>26</v>
      </c>
      <c r="AJ185" s="5">
        <v>26</v>
      </c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>
        <f t="shared" si="49"/>
        <v>0</v>
      </c>
      <c r="AX185" s="5">
        <v>40</v>
      </c>
      <c r="AY185" s="5">
        <v>40</v>
      </c>
      <c r="AZ185" s="5">
        <v>40</v>
      </c>
      <c r="BA185" s="5">
        <v>40</v>
      </c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41" t="s">
        <v>96</v>
      </c>
      <c r="BO185" s="6">
        <v>58</v>
      </c>
      <c r="BP185" s="5" t="s">
        <v>133</v>
      </c>
      <c r="BQ185" s="8">
        <v>44278</v>
      </c>
      <c r="BR185" s="5"/>
      <c r="BS185" s="9">
        <f t="shared" si="50"/>
        <v>40691.759918616481</v>
      </c>
      <c r="BT185" s="6">
        <f t="shared" si="51"/>
        <v>57.735026918962582</v>
      </c>
      <c r="BU185" s="5">
        <v>99999999</v>
      </c>
      <c r="BV185" s="10">
        <v>99999999</v>
      </c>
      <c r="BW185" s="10">
        <v>99999999</v>
      </c>
      <c r="BX185" s="10">
        <v>99999999</v>
      </c>
      <c r="BY185" s="10">
        <v>99999999</v>
      </c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>
        <v>0</v>
      </c>
      <c r="CM185" s="9" t="s">
        <v>288</v>
      </c>
    </row>
    <row r="186" spans="1:91" x14ac:dyDescent="0.3">
      <c r="A186" s="5" t="s">
        <v>290</v>
      </c>
      <c r="B186" s="5" t="s">
        <v>109</v>
      </c>
      <c r="C186" s="5">
        <v>40000</v>
      </c>
      <c r="D186" s="14">
        <v>44000</v>
      </c>
      <c r="E186" s="5">
        <f>D186*[1]Rentabiliteit!$V$74</f>
        <v>44000</v>
      </c>
      <c r="F186" s="5">
        <v>44000</v>
      </c>
      <c r="G186" s="6">
        <v>98.7</v>
      </c>
      <c r="H186" s="6">
        <v>98.4</v>
      </c>
      <c r="I186" s="13">
        <v>98.3</v>
      </c>
      <c r="J186" s="5">
        <v>4</v>
      </c>
      <c r="K186" s="5" t="s">
        <v>113</v>
      </c>
      <c r="L186" s="5">
        <v>2</v>
      </c>
      <c r="M186" s="5">
        <v>2</v>
      </c>
      <c r="N186" s="5">
        <v>2</v>
      </c>
      <c r="O186" s="5">
        <v>2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>
        <v>200</v>
      </c>
      <c r="AC186" s="5">
        <v>200</v>
      </c>
      <c r="AD186" s="44">
        <v>750</v>
      </c>
      <c r="AE186" s="5">
        <v>1100</v>
      </c>
      <c r="AF186" s="5">
        <f t="shared" si="48"/>
        <v>0</v>
      </c>
      <c r="AG186" s="5">
        <v>26</v>
      </c>
      <c r="AH186" s="5">
        <v>26</v>
      </c>
      <c r="AI186" s="5">
        <v>26</v>
      </c>
      <c r="AJ186" s="5">
        <v>26</v>
      </c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>
        <f t="shared" si="49"/>
        <v>0</v>
      </c>
      <c r="AX186" s="5">
        <v>40</v>
      </c>
      <c r="AY186" s="5">
        <v>40</v>
      </c>
      <c r="AZ186" s="5">
        <v>40</v>
      </c>
      <c r="BA186" s="5">
        <v>40</v>
      </c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41" t="s">
        <v>96</v>
      </c>
      <c r="BO186" s="6">
        <v>63.8</v>
      </c>
      <c r="BP186" s="5" t="s">
        <v>133</v>
      </c>
      <c r="BQ186" s="8">
        <v>44278</v>
      </c>
      <c r="BR186" s="5"/>
      <c r="BS186" s="9">
        <f t="shared" si="50"/>
        <v>44760.935910478132</v>
      </c>
      <c r="BT186" s="6">
        <f t="shared" si="51"/>
        <v>63.508529610858837</v>
      </c>
      <c r="BU186" s="5">
        <v>99999999</v>
      </c>
      <c r="BV186" s="10">
        <v>99999999</v>
      </c>
      <c r="BW186" s="10">
        <v>99999999</v>
      </c>
      <c r="BX186" s="10">
        <v>99999999</v>
      </c>
      <c r="BY186" s="10">
        <v>99999999</v>
      </c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>
        <v>0</v>
      </c>
      <c r="CM186" s="9" t="s">
        <v>288</v>
      </c>
    </row>
    <row r="187" spans="1:91" x14ac:dyDescent="0.3">
      <c r="A187" s="5" t="s">
        <v>291</v>
      </c>
      <c r="B187" s="5" t="s">
        <v>109</v>
      </c>
      <c r="C187" s="5">
        <v>50000</v>
      </c>
      <c r="D187" s="14">
        <v>55000</v>
      </c>
      <c r="E187" s="5">
        <f>D187*[1]Rentabiliteit!$V$74</f>
        <v>55000</v>
      </c>
      <c r="F187" s="5">
        <v>55000</v>
      </c>
      <c r="G187" s="6">
        <v>98.7</v>
      </c>
      <c r="H187" s="6">
        <v>98.4</v>
      </c>
      <c r="I187" s="13">
        <v>98.3</v>
      </c>
      <c r="J187" s="5">
        <v>4</v>
      </c>
      <c r="K187" s="5" t="s">
        <v>113</v>
      </c>
      <c r="L187" s="5">
        <v>2</v>
      </c>
      <c r="M187" s="5">
        <v>2</v>
      </c>
      <c r="N187" s="5">
        <v>2</v>
      </c>
      <c r="O187" s="5">
        <v>2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>
        <v>200</v>
      </c>
      <c r="AC187" s="5">
        <v>200</v>
      </c>
      <c r="AD187" s="14">
        <v>800</v>
      </c>
      <c r="AE187" s="5">
        <v>1100</v>
      </c>
      <c r="AF187" s="5">
        <f t="shared" si="48"/>
        <v>0</v>
      </c>
      <c r="AG187" s="5">
        <v>30</v>
      </c>
      <c r="AH187" s="5">
        <v>30</v>
      </c>
      <c r="AI187" s="5">
        <v>30</v>
      </c>
      <c r="AJ187" s="5">
        <v>30</v>
      </c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>
        <v>0</v>
      </c>
      <c r="AX187" s="5">
        <v>40</v>
      </c>
      <c r="AY187" s="5">
        <v>40</v>
      </c>
      <c r="AZ187" s="5">
        <v>40</v>
      </c>
      <c r="BA187" s="5">
        <v>40</v>
      </c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41" t="s">
        <v>96</v>
      </c>
      <c r="BO187" s="6">
        <v>63.8</v>
      </c>
      <c r="BP187" s="5" t="s">
        <v>171</v>
      </c>
      <c r="BQ187" s="8">
        <v>44819</v>
      </c>
      <c r="BR187" s="5"/>
      <c r="BS187" s="9">
        <f t="shared" si="50"/>
        <v>55951.169888097662</v>
      </c>
      <c r="BT187" s="6">
        <f t="shared" si="51"/>
        <v>79.385662013573551</v>
      </c>
      <c r="BU187" s="5">
        <v>99999999</v>
      </c>
      <c r="BV187" s="10">
        <v>99999999</v>
      </c>
      <c r="BW187" s="10">
        <v>99999999</v>
      </c>
      <c r="BX187" s="10">
        <v>99999999</v>
      </c>
      <c r="BY187" s="10">
        <v>99999999</v>
      </c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>
        <v>0</v>
      </c>
      <c r="CM187" s="9" t="s">
        <v>292</v>
      </c>
    </row>
    <row r="188" spans="1:91" x14ac:dyDescent="0.3">
      <c r="A188" s="5" t="s">
        <v>293</v>
      </c>
      <c r="B188" s="5" t="s">
        <v>109</v>
      </c>
      <c r="C188" s="5">
        <v>60000</v>
      </c>
      <c r="D188" s="5">
        <v>66000</v>
      </c>
      <c r="E188" s="5">
        <f>D188*[1]Rentabiliteit!$V$74</f>
        <v>66000</v>
      </c>
      <c r="F188" s="5">
        <v>66000</v>
      </c>
      <c r="G188" s="6">
        <v>98.7</v>
      </c>
      <c r="H188" s="6">
        <v>98.5</v>
      </c>
      <c r="I188" s="13">
        <v>98.5</v>
      </c>
      <c r="J188" s="5">
        <v>6</v>
      </c>
      <c r="K188" s="5" t="s">
        <v>96</v>
      </c>
      <c r="L188" s="5">
        <v>2</v>
      </c>
      <c r="M188" s="5">
        <v>2</v>
      </c>
      <c r="N188" s="5">
        <v>2</v>
      </c>
      <c r="O188" s="5">
        <v>2</v>
      </c>
      <c r="P188" s="5">
        <v>2</v>
      </c>
      <c r="Q188" s="5">
        <v>2</v>
      </c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>
        <v>200</v>
      </c>
      <c r="AC188" s="5">
        <v>200</v>
      </c>
      <c r="AD188" s="5">
        <v>875.55555555555554</v>
      </c>
      <c r="AE188" s="5">
        <v>1100</v>
      </c>
      <c r="AF188" s="5">
        <f t="shared" si="48"/>
        <v>0</v>
      </c>
      <c r="AG188" s="5">
        <v>22</v>
      </c>
      <c r="AH188" s="5">
        <v>22</v>
      </c>
      <c r="AI188" s="5">
        <v>22</v>
      </c>
      <c r="AJ188" s="5">
        <v>22</v>
      </c>
      <c r="AK188" s="5">
        <v>22</v>
      </c>
      <c r="AL188" s="5">
        <v>22</v>
      </c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>
        <f t="shared" si="49"/>
        <v>0</v>
      </c>
      <c r="AX188" s="5">
        <v>30</v>
      </c>
      <c r="AY188" s="5">
        <v>30</v>
      </c>
      <c r="AZ188" s="5">
        <v>30</v>
      </c>
      <c r="BA188" s="5">
        <v>30</v>
      </c>
      <c r="BB188" s="5">
        <v>30</v>
      </c>
      <c r="BC188" s="5">
        <v>30</v>
      </c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41" t="s">
        <v>96</v>
      </c>
      <c r="BO188" s="13">
        <v>100</v>
      </c>
      <c r="BP188" s="5" t="s">
        <v>97</v>
      </c>
      <c r="BQ188" s="8">
        <v>43242</v>
      </c>
      <c r="BR188" s="5"/>
      <c r="BS188" s="9">
        <f t="shared" si="50"/>
        <v>67005.076142131977</v>
      </c>
      <c r="BT188" s="6">
        <f t="shared" si="51"/>
        <v>95.262794416288259</v>
      </c>
      <c r="BU188" s="5">
        <v>99999999</v>
      </c>
      <c r="BV188" s="10">
        <v>99999999</v>
      </c>
      <c r="BW188" s="10">
        <v>99999999</v>
      </c>
      <c r="BX188" s="10">
        <v>99999999</v>
      </c>
      <c r="BY188" s="10">
        <v>99999999</v>
      </c>
      <c r="BZ188" s="10">
        <v>99999999</v>
      </c>
      <c r="CA188" s="10">
        <v>99999999</v>
      </c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>
        <v>0</v>
      </c>
      <c r="CM188" s="9" t="s">
        <v>288</v>
      </c>
    </row>
    <row r="189" spans="1:91" ht="15.6" x14ac:dyDescent="0.3">
      <c r="A189" s="5" t="s">
        <v>294</v>
      </c>
      <c r="B189" s="22" t="s">
        <v>295</v>
      </c>
      <c r="C189" s="5">
        <v>100000</v>
      </c>
      <c r="D189" s="5">
        <v>105000</v>
      </c>
      <c r="E189" s="5">
        <f>D189*[1]Rentabiliteit!$V$74</f>
        <v>105000</v>
      </c>
      <c r="F189" s="5">
        <v>105000</v>
      </c>
      <c r="G189" s="6">
        <v>99</v>
      </c>
      <c r="H189" s="6">
        <v>98.8</v>
      </c>
      <c r="I189" s="13">
        <v>98.8</v>
      </c>
      <c r="J189" s="5">
        <v>6</v>
      </c>
      <c r="K189" s="5" t="s">
        <v>96</v>
      </c>
      <c r="L189" s="5">
        <v>2</v>
      </c>
      <c r="M189" s="5">
        <v>2</v>
      </c>
      <c r="N189" s="5">
        <v>2</v>
      </c>
      <c r="O189" s="5">
        <v>2</v>
      </c>
      <c r="P189" s="5">
        <v>2</v>
      </c>
      <c r="Q189" s="5">
        <v>2</v>
      </c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>
        <v>650</v>
      </c>
      <c r="AC189" s="5">
        <v>600</v>
      </c>
      <c r="AD189" s="14">
        <v>1276</v>
      </c>
      <c r="AE189" s="5">
        <v>1500</v>
      </c>
      <c r="AF189" s="5">
        <f t="shared" si="48"/>
        <v>0</v>
      </c>
      <c r="AG189" s="5">
        <v>22</v>
      </c>
      <c r="AH189" s="5">
        <v>22</v>
      </c>
      <c r="AI189" s="5">
        <v>22</v>
      </c>
      <c r="AJ189" s="5">
        <v>22</v>
      </c>
      <c r="AK189" s="5">
        <v>22</v>
      </c>
      <c r="AL189" s="5">
        <v>22</v>
      </c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>
        <f t="shared" si="49"/>
        <v>0</v>
      </c>
      <c r="AX189" s="5">
        <v>33</v>
      </c>
      <c r="AY189" s="5">
        <v>33</v>
      </c>
      <c r="AZ189" s="5">
        <v>33</v>
      </c>
      <c r="BA189" s="5">
        <v>33</v>
      </c>
      <c r="BB189" s="5">
        <v>33</v>
      </c>
      <c r="BC189" s="5">
        <v>33</v>
      </c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41" t="s">
        <v>96</v>
      </c>
      <c r="BO189" s="13">
        <v>80.2</v>
      </c>
      <c r="BP189" s="5" t="s">
        <v>97</v>
      </c>
      <c r="BQ189" s="8">
        <v>44068</v>
      </c>
      <c r="BR189" s="5"/>
      <c r="BS189" s="9">
        <f t="shared" si="50"/>
        <v>106275.30364372469</v>
      </c>
      <c r="BT189" s="6">
        <f t="shared" si="51"/>
        <v>151.55444566227678</v>
      </c>
      <c r="BU189" s="5">
        <v>99999999</v>
      </c>
      <c r="BV189" s="10">
        <v>99999999</v>
      </c>
      <c r="BW189" s="10">
        <v>99999999</v>
      </c>
      <c r="BX189" s="10">
        <v>99999999</v>
      </c>
      <c r="BY189" s="10">
        <v>99999999</v>
      </c>
      <c r="BZ189" s="10">
        <v>99999999</v>
      </c>
      <c r="CA189" s="10">
        <v>99999999</v>
      </c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>
        <v>0</v>
      </c>
      <c r="CM189" s="9" t="s">
        <v>98</v>
      </c>
    </row>
    <row r="190" spans="1:91" x14ac:dyDescent="0.3">
      <c r="A190" s="5" t="s">
        <v>296</v>
      </c>
      <c r="B190" s="5" t="s">
        <v>109</v>
      </c>
      <c r="C190" s="5">
        <v>100000</v>
      </c>
      <c r="D190" s="5">
        <v>110000</v>
      </c>
      <c r="E190" s="5">
        <f>D190*[1]Rentabiliteit!$V$74</f>
        <v>110000</v>
      </c>
      <c r="F190" s="5">
        <v>110000</v>
      </c>
      <c r="G190" s="6">
        <v>98.6</v>
      </c>
      <c r="H190" s="6">
        <v>98.4</v>
      </c>
      <c r="I190" s="13">
        <v>98.4</v>
      </c>
      <c r="J190" s="5">
        <v>10</v>
      </c>
      <c r="K190" s="5" t="s">
        <v>96</v>
      </c>
      <c r="L190" s="5">
        <v>2</v>
      </c>
      <c r="M190" s="5">
        <v>2</v>
      </c>
      <c r="N190" s="5">
        <v>2</v>
      </c>
      <c r="O190" s="5">
        <v>2</v>
      </c>
      <c r="P190" s="5">
        <v>2</v>
      </c>
      <c r="Q190" s="5">
        <v>2</v>
      </c>
      <c r="R190" s="5">
        <v>2</v>
      </c>
      <c r="S190" s="5">
        <v>2</v>
      </c>
      <c r="T190" s="5">
        <v>2</v>
      </c>
      <c r="U190" s="5">
        <v>2</v>
      </c>
      <c r="V190" s="5"/>
      <c r="W190" s="5"/>
      <c r="X190" s="5"/>
      <c r="Y190" s="5"/>
      <c r="Z190" s="5"/>
      <c r="AA190" s="5"/>
      <c r="AB190" s="5">
        <v>200</v>
      </c>
      <c r="AC190" s="5">
        <v>200</v>
      </c>
      <c r="AD190" s="5">
        <v>800</v>
      </c>
      <c r="AE190" s="5">
        <v>1100</v>
      </c>
      <c r="AF190" s="5">
        <f t="shared" si="48"/>
        <v>0</v>
      </c>
      <c r="AG190" s="5">
        <v>26</v>
      </c>
      <c r="AH190" s="5">
        <v>26</v>
      </c>
      <c r="AI190" s="5">
        <v>26</v>
      </c>
      <c r="AJ190" s="5">
        <v>26</v>
      </c>
      <c r="AK190" s="5">
        <v>26</v>
      </c>
      <c r="AL190" s="5">
        <v>26</v>
      </c>
      <c r="AM190" s="5">
        <v>26</v>
      </c>
      <c r="AN190" s="5">
        <v>26</v>
      </c>
      <c r="AO190" s="5">
        <v>26</v>
      </c>
      <c r="AP190" s="5">
        <v>26</v>
      </c>
      <c r="AQ190" s="5"/>
      <c r="AR190" s="5"/>
      <c r="AS190" s="5"/>
      <c r="AT190" s="5"/>
      <c r="AU190" s="5"/>
      <c r="AV190" s="5"/>
      <c r="AW190" s="5">
        <f t="shared" si="49"/>
        <v>0</v>
      </c>
      <c r="AX190" s="5">
        <v>40</v>
      </c>
      <c r="AY190" s="5">
        <v>40</v>
      </c>
      <c r="AZ190" s="5">
        <v>40</v>
      </c>
      <c r="BA190" s="5">
        <v>40</v>
      </c>
      <c r="BB190" s="5">
        <v>40</v>
      </c>
      <c r="BC190" s="5">
        <v>40</v>
      </c>
      <c r="BD190" s="5">
        <v>40</v>
      </c>
      <c r="BE190" s="5">
        <v>40</v>
      </c>
      <c r="BF190" s="5">
        <v>40</v>
      </c>
      <c r="BG190" s="5">
        <v>40</v>
      </c>
      <c r="BH190" s="5"/>
      <c r="BI190" s="5"/>
      <c r="BJ190" s="5"/>
      <c r="BK190" s="5"/>
      <c r="BL190" s="5"/>
      <c r="BM190" s="5"/>
      <c r="BN190" s="41" t="s">
        <v>96</v>
      </c>
      <c r="BO190" s="13">
        <v>160.4</v>
      </c>
      <c r="BP190" s="5" t="s">
        <v>97</v>
      </c>
      <c r="BQ190" s="8">
        <v>44068</v>
      </c>
      <c r="BR190" s="5"/>
      <c r="BS190" s="9">
        <f t="shared" si="50"/>
        <v>111788.61788617885</v>
      </c>
      <c r="BT190" s="6">
        <f t="shared" si="51"/>
        <v>158.7713240271471</v>
      </c>
      <c r="BU190" s="5">
        <v>99999999</v>
      </c>
      <c r="BV190" s="10">
        <v>99999999</v>
      </c>
      <c r="BW190" s="10">
        <v>99999999</v>
      </c>
      <c r="BX190" s="10">
        <v>99999999</v>
      </c>
      <c r="BY190" s="10">
        <v>99999999</v>
      </c>
      <c r="BZ190" s="10">
        <v>99999999</v>
      </c>
      <c r="CA190" s="10">
        <v>99999999</v>
      </c>
      <c r="CB190" s="10">
        <v>99999999</v>
      </c>
      <c r="CC190" s="10">
        <v>99999999</v>
      </c>
      <c r="CD190" s="10">
        <v>99999999</v>
      </c>
      <c r="CE190" s="10">
        <v>99999999</v>
      </c>
      <c r="CF190" s="9"/>
      <c r="CG190" s="9"/>
      <c r="CH190" s="9"/>
      <c r="CI190" s="9"/>
      <c r="CJ190" s="9"/>
      <c r="CK190" s="9"/>
      <c r="CL190" s="9">
        <v>0</v>
      </c>
      <c r="CM190" s="9" t="s">
        <v>288</v>
      </c>
    </row>
    <row r="191" spans="1:91" x14ac:dyDescent="0.3">
      <c r="A191" s="5" t="s">
        <v>297</v>
      </c>
      <c r="B191" s="5" t="s">
        <v>109</v>
      </c>
      <c r="C191" s="5">
        <v>100000</v>
      </c>
      <c r="D191" s="5">
        <v>110000</v>
      </c>
      <c r="E191" s="5">
        <f>D191*[1]Rentabiliteit!$V$74</f>
        <v>110000</v>
      </c>
      <c r="F191" s="5">
        <v>110000</v>
      </c>
      <c r="G191" s="6">
        <v>98.6</v>
      </c>
      <c r="H191" s="6">
        <v>98.4</v>
      </c>
      <c r="I191" s="13">
        <v>98.4</v>
      </c>
      <c r="J191" s="5">
        <v>10</v>
      </c>
      <c r="K191" s="5" t="s">
        <v>96</v>
      </c>
      <c r="L191" s="5">
        <v>2</v>
      </c>
      <c r="M191" s="5">
        <v>2</v>
      </c>
      <c r="N191" s="5">
        <v>2</v>
      </c>
      <c r="O191" s="5">
        <v>2</v>
      </c>
      <c r="P191" s="5">
        <v>2</v>
      </c>
      <c r="Q191" s="5">
        <v>2</v>
      </c>
      <c r="R191" s="5">
        <v>2</v>
      </c>
      <c r="S191" s="5">
        <v>2</v>
      </c>
      <c r="T191" s="5">
        <v>2</v>
      </c>
      <c r="U191" s="5">
        <v>2</v>
      </c>
      <c r="V191" s="5"/>
      <c r="W191" s="5"/>
      <c r="X191" s="5"/>
      <c r="Y191" s="5"/>
      <c r="Z191" s="5"/>
      <c r="AA191" s="5"/>
      <c r="AB191" s="5">
        <v>200</v>
      </c>
      <c r="AC191" s="5">
        <v>200</v>
      </c>
      <c r="AD191" s="14">
        <v>800</v>
      </c>
      <c r="AE191" s="5">
        <v>1100</v>
      </c>
      <c r="AF191" s="5">
        <f t="shared" si="48"/>
        <v>0</v>
      </c>
      <c r="AG191" s="5">
        <v>30</v>
      </c>
      <c r="AH191" s="5">
        <v>30</v>
      </c>
      <c r="AI191" s="5">
        <v>30</v>
      </c>
      <c r="AJ191" s="5">
        <v>30</v>
      </c>
      <c r="AK191" s="5">
        <v>30</v>
      </c>
      <c r="AL191" s="5">
        <v>30</v>
      </c>
      <c r="AM191" s="5">
        <v>30</v>
      </c>
      <c r="AN191" s="5">
        <v>30</v>
      </c>
      <c r="AO191" s="5">
        <v>30</v>
      </c>
      <c r="AP191" s="5">
        <v>30</v>
      </c>
      <c r="AQ191" s="5"/>
      <c r="AR191" s="5"/>
      <c r="AS191" s="5"/>
      <c r="AT191" s="5"/>
      <c r="AU191" s="5"/>
      <c r="AV191" s="5"/>
      <c r="AW191" s="5">
        <f t="shared" si="49"/>
        <v>0</v>
      </c>
      <c r="AX191" s="5">
        <v>40</v>
      </c>
      <c r="AY191" s="5">
        <v>40</v>
      </c>
      <c r="AZ191" s="5">
        <v>40</v>
      </c>
      <c r="BA191" s="5">
        <v>40</v>
      </c>
      <c r="BB191" s="5">
        <v>40</v>
      </c>
      <c r="BC191" s="5">
        <v>40</v>
      </c>
      <c r="BD191" s="5">
        <v>40</v>
      </c>
      <c r="BE191" s="5">
        <v>40</v>
      </c>
      <c r="BF191" s="5">
        <v>40</v>
      </c>
      <c r="BG191" s="5">
        <v>40</v>
      </c>
      <c r="BH191" s="5"/>
      <c r="BI191" s="5"/>
      <c r="BJ191" s="5"/>
      <c r="BK191" s="5"/>
      <c r="BL191" s="5"/>
      <c r="BM191" s="5"/>
      <c r="BN191" s="41" t="s">
        <v>96</v>
      </c>
      <c r="BO191" s="13">
        <v>160.4</v>
      </c>
      <c r="BP191" s="5" t="s">
        <v>171</v>
      </c>
      <c r="BQ191" s="8">
        <v>44979</v>
      </c>
      <c r="BR191" s="5"/>
      <c r="BS191" s="9">
        <f t="shared" si="50"/>
        <v>111788.61788617885</v>
      </c>
      <c r="BT191" s="6">
        <f t="shared" si="51"/>
        <v>158.7713240271471</v>
      </c>
      <c r="BU191" s="5">
        <v>99999999</v>
      </c>
      <c r="BV191" s="10">
        <v>99999999</v>
      </c>
      <c r="BW191" s="10">
        <v>99999999</v>
      </c>
      <c r="BX191" s="10">
        <v>99999999</v>
      </c>
      <c r="BY191" s="10">
        <v>99999999</v>
      </c>
      <c r="BZ191" s="10">
        <v>99999999</v>
      </c>
      <c r="CA191" s="10">
        <v>99999999</v>
      </c>
      <c r="CB191" s="10">
        <v>99999999</v>
      </c>
      <c r="CC191" s="10">
        <v>99999999</v>
      </c>
      <c r="CD191" s="10">
        <v>99999999</v>
      </c>
      <c r="CE191" s="10">
        <v>99999999</v>
      </c>
      <c r="CF191" s="9"/>
      <c r="CG191" s="9"/>
      <c r="CH191" s="9"/>
      <c r="CI191" s="9"/>
      <c r="CJ191" s="9"/>
      <c r="CK191" s="9"/>
      <c r="CL191" s="9">
        <v>0</v>
      </c>
      <c r="CM191" s="9" t="s">
        <v>298</v>
      </c>
    </row>
    <row r="192" spans="1:91" ht="15.6" x14ac:dyDescent="0.3">
      <c r="A192" s="5" t="s">
        <v>299</v>
      </c>
      <c r="B192" s="22" t="s">
        <v>295</v>
      </c>
      <c r="C192" s="5">
        <v>105000</v>
      </c>
      <c r="D192" s="5">
        <v>116000</v>
      </c>
      <c r="E192" s="5">
        <f>D192*[1]Rentabiliteit!$V$74</f>
        <v>116000</v>
      </c>
      <c r="F192" s="5">
        <v>116000</v>
      </c>
      <c r="G192" s="6">
        <v>99</v>
      </c>
      <c r="H192" s="6">
        <v>98.8</v>
      </c>
      <c r="I192" s="13">
        <v>98.8</v>
      </c>
      <c r="J192" s="5">
        <v>6</v>
      </c>
      <c r="K192" s="5" t="s">
        <v>96</v>
      </c>
      <c r="L192" s="5">
        <v>2</v>
      </c>
      <c r="M192" s="5">
        <v>2</v>
      </c>
      <c r="N192" s="5">
        <v>2</v>
      </c>
      <c r="O192" s="5">
        <v>2</v>
      </c>
      <c r="P192" s="5">
        <v>2</v>
      </c>
      <c r="Q192" s="5">
        <v>2</v>
      </c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>
        <v>650</v>
      </c>
      <c r="AC192" s="5">
        <v>600</v>
      </c>
      <c r="AD192" s="5">
        <v>1300</v>
      </c>
      <c r="AE192" s="5">
        <v>1500</v>
      </c>
      <c r="AF192" s="5">
        <f t="shared" si="48"/>
        <v>0</v>
      </c>
      <c r="AG192" s="5">
        <v>25</v>
      </c>
      <c r="AH192" s="5">
        <v>25</v>
      </c>
      <c r="AI192" s="5">
        <v>25</v>
      </c>
      <c r="AJ192" s="5">
        <v>25</v>
      </c>
      <c r="AK192" s="5">
        <v>25</v>
      </c>
      <c r="AL192" s="5">
        <v>25</v>
      </c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>
        <f t="shared" si="49"/>
        <v>0</v>
      </c>
      <c r="AX192" s="5">
        <v>33</v>
      </c>
      <c r="AY192" s="5">
        <v>33</v>
      </c>
      <c r="AZ192" s="5">
        <v>33</v>
      </c>
      <c r="BA192" s="5">
        <v>33</v>
      </c>
      <c r="BB192" s="5">
        <v>33</v>
      </c>
      <c r="BC192" s="5">
        <v>33</v>
      </c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41" t="s">
        <v>96</v>
      </c>
      <c r="BO192" s="6">
        <v>84.6</v>
      </c>
      <c r="BP192" s="5" t="s">
        <v>174</v>
      </c>
      <c r="BQ192" s="8">
        <v>43542</v>
      </c>
      <c r="BR192" s="5"/>
      <c r="BS192" s="9">
        <f t="shared" si="50"/>
        <v>117408.90688259109</v>
      </c>
      <c r="BT192" s="6">
        <f t="shared" si="51"/>
        <v>167.43157806499147</v>
      </c>
      <c r="BU192" s="5">
        <v>99999999</v>
      </c>
      <c r="BV192" s="10">
        <v>99999999</v>
      </c>
      <c r="BW192" s="10">
        <v>99999999</v>
      </c>
      <c r="BX192" s="10">
        <v>99999999</v>
      </c>
      <c r="BY192" s="10">
        <v>99999999</v>
      </c>
      <c r="BZ192" s="10">
        <v>99999999</v>
      </c>
      <c r="CA192" s="10">
        <v>99999999</v>
      </c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>
        <v>0</v>
      </c>
      <c r="CM192" s="9" t="s">
        <v>98</v>
      </c>
    </row>
    <row r="193" spans="1:91" ht="15.6" x14ac:dyDescent="0.3">
      <c r="A193" s="5" t="s">
        <v>300</v>
      </c>
      <c r="B193" s="22" t="s">
        <v>295</v>
      </c>
      <c r="C193" s="5">
        <v>175000</v>
      </c>
      <c r="D193" s="5">
        <v>185000</v>
      </c>
      <c r="E193" s="5">
        <f>D193*[1]Rentabiliteit!$V$74</f>
        <v>185000</v>
      </c>
      <c r="F193" s="5">
        <v>185000</v>
      </c>
      <c r="G193" s="6">
        <v>99.03</v>
      </c>
      <c r="H193" s="6">
        <v>98.69</v>
      </c>
      <c r="I193" s="13">
        <v>98.7</v>
      </c>
      <c r="J193" s="5">
        <v>9</v>
      </c>
      <c r="K193" s="5" t="s">
        <v>96</v>
      </c>
      <c r="L193" s="5">
        <v>2</v>
      </c>
      <c r="M193" s="5">
        <v>2</v>
      </c>
      <c r="N193" s="5">
        <v>2</v>
      </c>
      <c r="O193" s="5">
        <v>2</v>
      </c>
      <c r="P193" s="5">
        <v>2</v>
      </c>
      <c r="Q193" s="5">
        <v>2</v>
      </c>
      <c r="R193" s="5">
        <v>2</v>
      </c>
      <c r="S193" s="5">
        <v>2</v>
      </c>
      <c r="T193" s="5">
        <v>2</v>
      </c>
      <c r="U193" s="5"/>
      <c r="V193" s="5"/>
      <c r="W193" s="5"/>
      <c r="X193" s="5"/>
      <c r="Y193" s="5"/>
      <c r="Z193" s="5"/>
      <c r="AA193" s="5"/>
      <c r="AB193" s="5">
        <v>550</v>
      </c>
      <c r="AC193" s="5">
        <v>500</v>
      </c>
      <c r="AD193" s="14">
        <v>1300</v>
      </c>
      <c r="AE193" s="5">
        <v>1500</v>
      </c>
      <c r="AF193" s="5">
        <f t="shared" si="48"/>
        <v>0</v>
      </c>
      <c r="AG193" s="5">
        <v>26</v>
      </c>
      <c r="AH193" s="5">
        <v>26</v>
      </c>
      <c r="AI193" s="5">
        <v>26</v>
      </c>
      <c r="AJ193" s="5">
        <v>26</v>
      </c>
      <c r="AK193" s="5">
        <v>26</v>
      </c>
      <c r="AL193" s="5">
        <v>26</v>
      </c>
      <c r="AM193" s="5">
        <v>26</v>
      </c>
      <c r="AN193" s="5">
        <v>26</v>
      </c>
      <c r="AO193" s="5">
        <v>26</v>
      </c>
      <c r="AP193" s="5"/>
      <c r="AQ193" s="5"/>
      <c r="AR193" s="5"/>
      <c r="AS193" s="5"/>
      <c r="AT193" s="5"/>
      <c r="AU193" s="5"/>
      <c r="AV193" s="5"/>
      <c r="AW193" s="5">
        <f t="shared" si="49"/>
        <v>0</v>
      </c>
      <c r="AX193" s="5">
        <v>40</v>
      </c>
      <c r="AY193" s="5">
        <v>40</v>
      </c>
      <c r="AZ193" s="5">
        <v>40</v>
      </c>
      <c r="BA193" s="5">
        <v>40</v>
      </c>
      <c r="BB193" s="5">
        <v>40</v>
      </c>
      <c r="BC193" s="5">
        <v>40</v>
      </c>
      <c r="BD193" s="5">
        <v>40</v>
      </c>
      <c r="BE193" s="5">
        <v>40</v>
      </c>
      <c r="BF193" s="5">
        <v>40</v>
      </c>
      <c r="BG193" s="5"/>
      <c r="BH193" s="5"/>
      <c r="BI193" s="5"/>
      <c r="BJ193" s="5"/>
      <c r="BK193" s="5"/>
      <c r="BL193" s="5"/>
      <c r="BM193" s="5"/>
      <c r="BN193" s="41" t="s">
        <v>96</v>
      </c>
      <c r="BO193" s="13">
        <v>134.9</v>
      </c>
      <c r="BP193" s="5" t="s">
        <v>174</v>
      </c>
      <c r="BQ193" s="8">
        <v>43636</v>
      </c>
      <c r="BR193" s="5"/>
      <c r="BS193" s="9">
        <f t="shared" si="50"/>
        <v>187436.67679837893</v>
      </c>
      <c r="BT193" s="6">
        <f>F193/800/SQRT(3)</f>
        <v>133.51224975010098</v>
      </c>
      <c r="BU193" s="5">
        <v>99999999</v>
      </c>
      <c r="BV193" s="10">
        <v>99999999</v>
      </c>
      <c r="BW193" s="10">
        <v>99999999</v>
      </c>
      <c r="BX193" s="10">
        <v>99999999</v>
      </c>
      <c r="BY193" s="10">
        <v>99999999</v>
      </c>
      <c r="BZ193" s="10">
        <v>99999999</v>
      </c>
      <c r="CA193" s="10">
        <v>99999999</v>
      </c>
      <c r="CB193" s="10">
        <v>99999999</v>
      </c>
      <c r="CC193" s="10">
        <v>99999999</v>
      </c>
      <c r="CD193" s="10">
        <v>99999999</v>
      </c>
      <c r="CE193" s="9"/>
      <c r="CF193" s="9"/>
      <c r="CG193" s="9"/>
      <c r="CH193" s="9"/>
      <c r="CI193" s="9"/>
      <c r="CJ193" s="9"/>
      <c r="CK193" s="9"/>
      <c r="CL193" s="9">
        <v>0</v>
      </c>
      <c r="CM193" s="9" t="s">
        <v>288</v>
      </c>
    </row>
    <row r="194" spans="1:91" ht="15.6" x14ac:dyDescent="0.3">
      <c r="A194" s="5" t="s">
        <v>301</v>
      </c>
      <c r="B194" s="22" t="s">
        <v>295</v>
      </c>
      <c r="C194" s="5">
        <v>200000</v>
      </c>
      <c r="D194" s="5">
        <v>215000</v>
      </c>
      <c r="E194" s="5">
        <f>D194*[1]Rentabiliteit!$V$74</f>
        <v>215000</v>
      </c>
      <c r="F194" s="5">
        <v>215000</v>
      </c>
      <c r="G194" s="6">
        <v>99</v>
      </c>
      <c r="H194" s="6">
        <v>98.6</v>
      </c>
      <c r="I194" s="13">
        <v>98.4</v>
      </c>
      <c r="J194" s="5">
        <v>9</v>
      </c>
      <c r="K194" s="5" t="s">
        <v>113</v>
      </c>
      <c r="L194" s="5">
        <v>2</v>
      </c>
      <c r="M194" s="5">
        <v>2</v>
      </c>
      <c r="N194" s="5">
        <v>2</v>
      </c>
      <c r="O194" s="5">
        <v>2</v>
      </c>
      <c r="P194" s="5">
        <v>2</v>
      </c>
      <c r="Q194" s="5">
        <v>2</v>
      </c>
      <c r="R194" s="5">
        <v>2</v>
      </c>
      <c r="S194" s="5">
        <v>2</v>
      </c>
      <c r="T194" s="5">
        <v>2</v>
      </c>
      <c r="U194" s="5"/>
      <c r="V194" s="5"/>
      <c r="W194" s="5"/>
      <c r="X194" s="5"/>
      <c r="Y194" s="5"/>
      <c r="Z194" s="5"/>
      <c r="AA194" s="5"/>
      <c r="AB194" s="5">
        <v>550</v>
      </c>
      <c r="AC194" s="5">
        <v>500</v>
      </c>
      <c r="AD194" s="5">
        <v>1300</v>
      </c>
      <c r="AE194" s="5">
        <v>1500</v>
      </c>
      <c r="AF194" s="5">
        <f t="shared" si="48"/>
        <v>0</v>
      </c>
      <c r="AG194" s="5">
        <v>30</v>
      </c>
      <c r="AH194" s="5">
        <v>30</v>
      </c>
      <c r="AI194" s="5">
        <v>30</v>
      </c>
      <c r="AJ194" s="5">
        <v>30</v>
      </c>
      <c r="AK194" s="5">
        <v>30</v>
      </c>
      <c r="AL194" s="5">
        <v>30</v>
      </c>
      <c r="AM194" s="5">
        <v>30</v>
      </c>
      <c r="AN194" s="5">
        <v>30</v>
      </c>
      <c r="AO194" s="5">
        <v>30</v>
      </c>
      <c r="AP194" s="5"/>
      <c r="AQ194" s="5"/>
      <c r="AR194" s="5"/>
      <c r="AS194" s="5"/>
      <c r="AT194" s="5"/>
      <c r="AU194" s="5"/>
      <c r="AV194" s="5"/>
      <c r="AW194" s="5">
        <f t="shared" si="49"/>
        <v>0</v>
      </c>
      <c r="AX194" s="5">
        <v>50</v>
      </c>
      <c r="AY194" s="5">
        <v>50</v>
      </c>
      <c r="AZ194" s="5">
        <v>50</v>
      </c>
      <c r="BA194" s="5">
        <v>50</v>
      </c>
      <c r="BB194" s="5">
        <v>50</v>
      </c>
      <c r="BC194" s="5">
        <v>50</v>
      </c>
      <c r="BD194" s="5">
        <v>50</v>
      </c>
      <c r="BE194" s="5">
        <v>50</v>
      </c>
      <c r="BF194" s="5">
        <v>50</v>
      </c>
      <c r="BG194" s="5"/>
      <c r="BH194" s="5"/>
      <c r="BI194" s="5"/>
      <c r="BJ194" s="5"/>
      <c r="BK194" s="5"/>
      <c r="BL194" s="5"/>
      <c r="BM194" s="5"/>
      <c r="BN194" s="41" t="s">
        <v>96</v>
      </c>
      <c r="BO194" s="6">
        <v>155.19999999999999</v>
      </c>
      <c r="BP194" s="5" t="s">
        <v>133</v>
      </c>
      <c r="BQ194" s="8">
        <v>44372</v>
      </c>
      <c r="BR194" s="5"/>
      <c r="BS194" s="9">
        <f t="shared" si="50"/>
        <v>218495.93495934957</v>
      </c>
      <c r="BT194" s="6">
        <f>F194/400/SQRT(3)</f>
        <v>310.32576968942385</v>
      </c>
      <c r="BU194" s="5">
        <v>99999999</v>
      </c>
      <c r="BV194" s="10">
        <v>99999999</v>
      </c>
      <c r="BW194" s="10">
        <v>99999999</v>
      </c>
      <c r="BX194" s="10">
        <v>99999999</v>
      </c>
      <c r="BY194" s="10">
        <v>99999999</v>
      </c>
      <c r="BZ194" s="10">
        <v>99999999</v>
      </c>
      <c r="CA194" s="10">
        <v>99999999</v>
      </c>
      <c r="CB194" s="10">
        <v>99999999</v>
      </c>
      <c r="CC194" s="10">
        <v>99999999</v>
      </c>
      <c r="CD194" s="10">
        <v>99999999</v>
      </c>
      <c r="CE194" s="9"/>
      <c r="CF194" s="9"/>
      <c r="CG194" s="9"/>
      <c r="CH194" s="9"/>
      <c r="CI194" s="9"/>
      <c r="CJ194" s="9"/>
      <c r="CK194" s="9"/>
      <c r="CL194" s="9">
        <v>0</v>
      </c>
      <c r="CM194" s="9" t="s">
        <v>288</v>
      </c>
    </row>
    <row r="195" spans="1:91" ht="15.6" x14ac:dyDescent="0.3">
      <c r="A195" s="5" t="s">
        <v>302</v>
      </c>
      <c r="B195" s="22" t="s">
        <v>295</v>
      </c>
      <c r="C195" s="5">
        <v>200000</v>
      </c>
      <c r="D195" s="5">
        <v>215000</v>
      </c>
      <c r="E195" s="5">
        <f>D195*[1]Rentabiliteit!$V$74</f>
        <v>215000</v>
      </c>
      <c r="F195" s="5">
        <v>215000</v>
      </c>
      <c r="G195" s="6">
        <v>99</v>
      </c>
      <c r="H195" s="6">
        <v>98.6</v>
      </c>
      <c r="I195" s="13">
        <v>98.4</v>
      </c>
      <c r="J195" s="5">
        <v>3</v>
      </c>
      <c r="K195" s="5" t="s">
        <v>113</v>
      </c>
      <c r="L195" s="5">
        <v>4</v>
      </c>
      <c r="M195" s="5">
        <v>5</v>
      </c>
      <c r="N195" s="5">
        <v>5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>
        <v>550</v>
      </c>
      <c r="AC195" s="5">
        <v>500</v>
      </c>
      <c r="AD195" s="5">
        <v>1300</v>
      </c>
      <c r="AE195" s="5">
        <v>1500</v>
      </c>
      <c r="AF195" s="5">
        <f t="shared" si="48"/>
        <v>0</v>
      </c>
      <c r="AG195" s="5">
        <v>100</v>
      </c>
      <c r="AH195" s="5">
        <v>100</v>
      </c>
      <c r="AI195" s="5">
        <v>100</v>
      </c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>
        <f t="shared" si="49"/>
        <v>0</v>
      </c>
      <c r="AX195" s="5">
        <v>100</v>
      </c>
      <c r="AY195" s="5">
        <v>100</v>
      </c>
      <c r="AZ195" s="5">
        <v>100</v>
      </c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41" t="s">
        <v>96</v>
      </c>
      <c r="BO195" s="6">
        <v>155.19999999999999</v>
      </c>
      <c r="BP195" s="5" t="s">
        <v>133</v>
      </c>
      <c r="BQ195" s="8">
        <v>44466</v>
      </c>
      <c r="BR195" s="5"/>
      <c r="BS195" s="9">
        <f t="shared" si="50"/>
        <v>218495.93495934957</v>
      </c>
      <c r="BT195" s="6">
        <f>F195/400/SQRT(3)</f>
        <v>310.32576968942385</v>
      </c>
      <c r="BU195" s="5">
        <v>99999999</v>
      </c>
      <c r="BV195" s="10">
        <v>99999999</v>
      </c>
      <c r="BW195" s="10">
        <v>99999999</v>
      </c>
      <c r="BX195" s="10">
        <v>99999999</v>
      </c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>
        <v>0</v>
      </c>
      <c r="CM195" s="9" t="s">
        <v>298</v>
      </c>
    </row>
    <row r="196" spans="1:91" ht="15.6" x14ac:dyDescent="0.3">
      <c r="A196" s="5" t="s">
        <v>303</v>
      </c>
      <c r="B196" s="22" t="s">
        <v>295</v>
      </c>
      <c r="C196" s="5">
        <v>300000</v>
      </c>
      <c r="D196" s="5">
        <v>330000</v>
      </c>
      <c r="E196" s="5">
        <f>D196*[1]Rentabiliteit!$V$74</f>
        <v>330000</v>
      </c>
      <c r="F196" s="5">
        <v>330000</v>
      </c>
      <c r="G196" s="6">
        <v>99</v>
      </c>
      <c r="H196" s="6">
        <v>98.8</v>
      </c>
      <c r="I196" s="13">
        <v>98.4</v>
      </c>
      <c r="J196" s="5">
        <v>6</v>
      </c>
      <c r="K196" s="5" t="s">
        <v>113</v>
      </c>
      <c r="L196" s="5">
        <v>4</v>
      </c>
      <c r="M196" s="5">
        <v>5</v>
      </c>
      <c r="N196" s="5">
        <v>5</v>
      </c>
      <c r="O196" s="5">
        <v>4</v>
      </c>
      <c r="P196" s="5">
        <v>5</v>
      </c>
      <c r="Q196" s="5">
        <v>5</v>
      </c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14">
        <v>550</v>
      </c>
      <c r="AC196" s="14">
        <v>500</v>
      </c>
      <c r="AD196" s="14">
        <v>1300</v>
      </c>
      <c r="AE196" s="5">
        <v>1500</v>
      </c>
      <c r="AF196" s="5">
        <f t="shared" si="48"/>
        <v>0</v>
      </c>
      <c r="AG196" s="5">
        <v>65</v>
      </c>
      <c r="AH196" s="5">
        <v>65</v>
      </c>
      <c r="AI196" s="5">
        <v>65</v>
      </c>
      <c r="AJ196" s="5">
        <v>65</v>
      </c>
      <c r="AK196" s="5">
        <v>65</v>
      </c>
      <c r="AL196" s="5">
        <v>65</v>
      </c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>
        <f t="shared" si="49"/>
        <v>0</v>
      </c>
      <c r="AX196" s="5">
        <v>115</v>
      </c>
      <c r="AY196" s="5">
        <v>115</v>
      </c>
      <c r="AZ196" s="5">
        <v>115</v>
      </c>
      <c r="BA196" s="5">
        <v>115</v>
      </c>
      <c r="BB196" s="5">
        <v>115</v>
      </c>
      <c r="BC196" s="5">
        <v>115</v>
      </c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41" t="s">
        <v>96</v>
      </c>
      <c r="BO196" s="6">
        <v>155.19999999999999</v>
      </c>
      <c r="BP196" s="5" t="s">
        <v>171</v>
      </c>
      <c r="BQ196" s="8">
        <v>44819</v>
      </c>
      <c r="BR196" s="5"/>
      <c r="BS196" s="9">
        <f t="shared" si="50"/>
        <v>335365.85365853657</v>
      </c>
      <c r="BT196" s="6">
        <f>F196/400/SQRT(3)</f>
        <v>476.31397208144131</v>
      </c>
      <c r="BU196" s="5">
        <v>99999999</v>
      </c>
      <c r="BV196" s="10">
        <v>99999999</v>
      </c>
      <c r="BW196" s="10">
        <v>99999999</v>
      </c>
      <c r="BX196" s="10">
        <v>99999999</v>
      </c>
      <c r="BY196" s="10">
        <v>99999999</v>
      </c>
      <c r="BZ196" s="10">
        <v>99999999</v>
      </c>
      <c r="CA196" s="10">
        <v>99999999</v>
      </c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>
        <v>0</v>
      </c>
      <c r="CM196" s="9" t="s">
        <v>288</v>
      </c>
    </row>
    <row r="197" spans="1:91" ht="15.6" x14ac:dyDescent="0.3">
      <c r="A197" s="5" t="s">
        <v>122</v>
      </c>
      <c r="B197" s="22"/>
      <c r="C197" s="5"/>
      <c r="D197" s="5"/>
      <c r="E197" s="5"/>
      <c r="F197" s="5"/>
      <c r="G197" s="6"/>
      <c r="H197" s="6"/>
      <c r="I197" s="6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6"/>
      <c r="BP197" s="5"/>
      <c r="BQ197" s="8"/>
      <c r="BR197" s="5"/>
      <c r="BS197" s="9">
        <v>9999999</v>
      </c>
      <c r="BT197" s="6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9"/>
      <c r="CM197" s="9"/>
    </row>
    <row r="198" spans="1:91" ht="15.6" x14ac:dyDescent="0.3">
      <c r="A198" s="11"/>
      <c r="B198" s="42"/>
      <c r="C198" s="11"/>
      <c r="D198" s="11"/>
      <c r="E198" s="11"/>
      <c r="F198" s="11"/>
      <c r="G198" s="3"/>
      <c r="H198" s="3"/>
      <c r="I198" s="3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3"/>
      <c r="BP198" s="11"/>
      <c r="BQ198" s="43"/>
      <c r="BR198" s="11"/>
      <c r="BS198" s="12"/>
      <c r="BT198" s="3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2"/>
      <c r="CM198" s="12"/>
    </row>
    <row r="199" spans="1:91" ht="15.6" x14ac:dyDescent="0.3">
      <c r="A199" s="1" t="s">
        <v>304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11"/>
      <c r="BS199" s="12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</row>
    <row r="200" spans="1:91" x14ac:dyDescent="0.3">
      <c r="A200" s="5" t="s">
        <v>1</v>
      </c>
      <c r="B200" s="5" t="s">
        <v>2</v>
      </c>
      <c r="C200" s="5" t="s">
        <v>3</v>
      </c>
      <c r="D200" s="5" t="s">
        <v>4</v>
      </c>
      <c r="E200" s="5" t="s">
        <v>5</v>
      </c>
      <c r="F200" s="5" t="s">
        <v>6</v>
      </c>
      <c r="G200" s="5" t="s">
        <v>7</v>
      </c>
      <c r="H200" s="5" t="s">
        <v>8</v>
      </c>
      <c r="I200" s="5" t="s">
        <v>9</v>
      </c>
      <c r="J200" s="5" t="s">
        <v>10</v>
      </c>
      <c r="K200" s="5" t="s">
        <v>11</v>
      </c>
      <c r="L200" s="5" t="s">
        <v>12</v>
      </c>
      <c r="M200" s="5" t="s">
        <v>13</v>
      </c>
      <c r="N200" s="5" t="s">
        <v>14</v>
      </c>
      <c r="O200" s="5" t="s">
        <v>15</v>
      </c>
      <c r="P200" s="5" t="s">
        <v>16</v>
      </c>
      <c r="Q200" s="5" t="s">
        <v>17</v>
      </c>
      <c r="R200" s="5" t="s">
        <v>18</v>
      </c>
      <c r="S200" s="5" t="s">
        <v>19</v>
      </c>
      <c r="T200" s="5" t="s">
        <v>20</v>
      </c>
      <c r="U200" s="5" t="s">
        <v>21</v>
      </c>
      <c r="V200" s="5" t="s">
        <v>22</v>
      </c>
      <c r="W200" s="5" t="s">
        <v>23</v>
      </c>
      <c r="X200" s="5" t="s">
        <v>24</v>
      </c>
      <c r="Y200" s="5" t="s">
        <v>25</v>
      </c>
      <c r="Z200" s="5" t="s">
        <v>26</v>
      </c>
      <c r="AA200" s="5" t="s">
        <v>27</v>
      </c>
      <c r="AB200" s="5" t="s">
        <v>28</v>
      </c>
      <c r="AC200" s="5" t="s">
        <v>29</v>
      </c>
      <c r="AD200" s="5" t="s">
        <v>30</v>
      </c>
      <c r="AE200" s="5" t="s">
        <v>31</v>
      </c>
      <c r="AF200" s="5" t="s">
        <v>32</v>
      </c>
      <c r="AG200" s="5" t="s">
        <v>33</v>
      </c>
      <c r="AH200" s="5" t="s">
        <v>34</v>
      </c>
      <c r="AI200" s="5" t="s">
        <v>35</v>
      </c>
      <c r="AJ200" s="5" t="s">
        <v>36</v>
      </c>
      <c r="AK200" s="5" t="s">
        <v>37</v>
      </c>
      <c r="AL200" s="5" t="s">
        <v>38</v>
      </c>
      <c r="AM200" s="5" t="s">
        <v>39</v>
      </c>
      <c r="AN200" s="5" t="s">
        <v>40</v>
      </c>
      <c r="AO200" s="5" t="s">
        <v>41</v>
      </c>
      <c r="AP200" s="5" t="s">
        <v>42</v>
      </c>
      <c r="AQ200" s="5" t="s">
        <v>43</v>
      </c>
      <c r="AR200" s="5" t="s">
        <v>44</v>
      </c>
      <c r="AS200" s="5" t="s">
        <v>45</v>
      </c>
      <c r="AT200" s="5" t="s">
        <v>46</v>
      </c>
      <c r="AU200" s="5" t="s">
        <v>47</v>
      </c>
      <c r="AV200" s="5" t="s">
        <v>48</v>
      </c>
      <c r="AW200" s="5" t="s">
        <v>49</v>
      </c>
      <c r="AX200" s="5" t="s">
        <v>50</v>
      </c>
      <c r="AY200" s="5" t="s">
        <v>51</v>
      </c>
      <c r="AZ200" s="5" t="s">
        <v>52</v>
      </c>
      <c r="BA200" s="5" t="s">
        <v>53</v>
      </c>
      <c r="BB200" s="5" t="s">
        <v>54</v>
      </c>
      <c r="BC200" s="5" t="s">
        <v>55</v>
      </c>
      <c r="BD200" s="5" t="s">
        <v>56</v>
      </c>
      <c r="BE200" s="5" t="s">
        <v>57</v>
      </c>
      <c r="BF200" s="5" t="s">
        <v>58</v>
      </c>
      <c r="BG200" s="5" t="s">
        <v>59</v>
      </c>
      <c r="BH200" s="5" t="s">
        <v>60</v>
      </c>
      <c r="BI200" s="5" t="s">
        <v>61</v>
      </c>
      <c r="BJ200" s="5" t="s">
        <v>62</v>
      </c>
      <c r="BK200" s="5" t="s">
        <v>63</v>
      </c>
      <c r="BL200" s="5" t="s">
        <v>64</v>
      </c>
      <c r="BM200" s="5" t="s">
        <v>65</v>
      </c>
      <c r="BN200" s="5" t="s">
        <v>66</v>
      </c>
      <c r="BO200" s="5" t="s">
        <v>67</v>
      </c>
      <c r="BP200" s="5" t="s">
        <v>68</v>
      </c>
      <c r="BQ200" s="5" t="s">
        <v>69</v>
      </c>
      <c r="BR200" s="5" t="s">
        <v>70</v>
      </c>
      <c r="BS200" s="5" t="s">
        <v>71</v>
      </c>
      <c r="BT200" s="5" t="s">
        <v>72</v>
      </c>
      <c r="BU200" s="5" t="s">
        <v>73</v>
      </c>
      <c r="BV200" s="5" t="s">
        <v>74</v>
      </c>
      <c r="BW200" s="5" t="s">
        <v>75</v>
      </c>
      <c r="BX200" s="5" t="s">
        <v>76</v>
      </c>
      <c r="BY200" s="5" t="s">
        <v>77</v>
      </c>
      <c r="BZ200" s="5" t="s">
        <v>78</v>
      </c>
      <c r="CA200" s="5" t="s">
        <v>79</v>
      </c>
      <c r="CB200" s="5" t="s">
        <v>80</v>
      </c>
      <c r="CC200" s="5" t="s">
        <v>81</v>
      </c>
      <c r="CD200" s="5" t="s">
        <v>82</v>
      </c>
      <c r="CE200" s="5" t="s">
        <v>83</v>
      </c>
      <c r="CF200" s="5" t="s">
        <v>84</v>
      </c>
      <c r="CG200" s="5" t="s">
        <v>85</v>
      </c>
      <c r="CH200" s="5" t="s">
        <v>86</v>
      </c>
      <c r="CI200" s="5" t="s">
        <v>87</v>
      </c>
      <c r="CJ200" s="5" t="s">
        <v>88</v>
      </c>
      <c r="CK200" s="5" t="s">
        <v>89</v>
      </c>
      <c r="CL200" s="5" t="s">
        <v>90</v>
      </c>
      <c r="CM200" s="5" t="s">
        <v>91</v>
      </c>
    </row>
    <row r="201" spans="1:91" x14ac:dyDescent="0.3">
      <c r="A201" s="5" t="s">
        <v>92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</row>
    <row r="202" spans="1:91" x14ac:dyDescent="0.3">
      <c r="A202" s="5" t="s">
        <v>305</v>
      </c>
      <c r="B202" s="5" t="s">
        <v>94</v>
      </c>
      <c r="C202" s="5">
        <v>1500</v>
      </c>
      <c r="D202" s="5">
        <v>1650</v>
      </c>
      <c r="E202" s="5">
        <f>D202*[1]Rentabiliteit!$V$74</f>
        <v>1650</v>
      </c>
      <c r="F202" s="5">
        <v>1650</v>
      </c>
      <c r="G202" s="6">
        <v>97.3</v>
      </c>
      <c r="H202" s="6">
        <v>96.5</v>
      </c>
      <c r="I202" s="6">
        <v>96.7</v>
      </c>
      <c r="J202" s="5">
        <v>1</v>
      </c>
      <c r="K202" s="5" t="s">
        <v>95</v>
      </c>
      <c r="L202" s="5">
        <v>1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>
        <v>150</v>
      </c>
      <c r="AC202" s="5">
        <v>120</v>
      </c>
      <c r="AD202" s="5">
        <v>425</v>
      </c>
      <c r="AE202" s="5">
        <v>480</v>
      </c>
      <c r="AF202" s="5">
        <f t="shared" ref="AF202:AF213" si="52">IF(OR($K202=1,$L202="Yes"),SUM(AG202:AV202),0)</f>
        <v>0</v>
      </c>
      <c r="AG202" s="5">
        <v>11</v>
      </c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>
        <f>IF(OR($K202=1,$L202="Yes"),SUM(AX202:BM202),0)</f>
        <v>0</v>
      </c>
      <c r="AX202" s="5">
        <v>11.9</v>
      </c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7" t="s">
        <v>250</v>
      </c>
      <c r="BO202" s="5">
        <v>8.5</v>
      </c>
      <c r="BP202" s="5" t="s">
        <v>97</v>
      </c>
      <c r="BQ202" s="8">
        <v>41710</v>
      </c>
      <c r="BR202" s="5" t="s">
        <v>306</v>
      </c>
      <c r="BS202" s="9">
        <f t="shared" ref="BS202:BS213" si="53">E202/(IF(I202=0,G202,I202)/100)</f>
        <v>1706.3081695966907</v>
      </c>
      <c r="BT202" s="6">
        <f>F202/230</f>
        <v>7.1739130434782608</v>
      </c>
      <c r="BU202" s="9">
        <v>99999999</v>
      </c>
      <c r="BV202" s="9">
        <v>99999999</v>
      </c>
      <c r="BW202" s="9">
        <v>99999999</v>
      </c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>
        <v>0</v>
      </c>
      <c r="CM202" s="9" t="s">
        <v>98</v>
      </c>
    </row>
    <row r="203" spans="1:91" x14ac:dyDescent="0.3">
      <c r="A203" s="5" t="s">
        <v>307</v>
      </c>
      <c r="B203" s="5" t="s">
        <v>94</v>
      </c>
      <c r="C203" s="5">
        <v>2000</v>
      </c>
      <c r="D203" s="5">
        <v>2000</v>
      </c>
      <c r="E203" s="5">
        <f>D203*[1]Rentabiliteit!$V$74</f>
        <v>2000</v>
      </c>
      <c r="F203" s="5">
        <v>2000</v>
      </c>
      <c r="G203" s="6">
        <v>97.4</v>
      </c>
      <c r="H203" s="6">
        <v>96.7</v>
      </c>
      <c r="I203" s="6">
        <v>96.9</v>
      </c>
      <c r="J203" s="5">
        <v>1</v>
      </c>
      <c r="K203" s="5" t="s">
        <v>95</v>
      </c>
      <c r="L203" s="5">
        <v>1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>
        <v>150</v>
      </c>
      <c r="AC203" s="5">
        <v>120</v>
      </c>
      <c r="AD203" s="5">
        <v>425</v>
      </c>
      <c r="AE203" s="5">
        <v>480</v>
      </c>
      <c r="AF203" s="5">
        <f t="shared" si="52"/>
        <v>0</v>
      </c>
      <c r="AG203" s="5">
        <v>12</v>
      </c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>
        <f t="shared" ref="AW203:AW213" si="54">IF(OR($K203=1,$L203="Yes"),SUM(AX203:BM203),0)</f>
        <v>0</v>
      </c>
      <c r="AX203" s="5">
        <v>13</v>
      </c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7" t="s">
        <v>250</v>
      </c>
      <c r="BO203" s="5">
        <v>11</v>
      </c>
      <c r="BP203" s="5" t="s">
        <v>97</v>
      </c>
      <c r="BQ203" s="8">
        <v>41710</v>
      </c>
      <c r="BR203" s="5" t="s">
        <v>306</v>
      </c>
      <c r="BS203" s="9">
        <f t="shared" si="53"/>
        <v>2063.9834881320949</v>
      </c>
      <c r="BT203" s="6">
        <f>F203/230</f>
        <v>8.695652173913043</v>
      </c>
      <c r="BU203" s="9">
        <v>99999999</v>
      </c>
      <c r="BV203" s="9">
        <v>99999999</v>
      </c>
      <c r="BW203" s="9">
        <v>99999999</v>
      </c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>
        <v>0</v>
      </c>
      <c r="CM203" s="9" t="s">
        <v>98</v>
      </c>
    </row>
    <row r="204" spans="1:91" x14ac:dyDescent="0.3">
      <c r="A204" s="5" t="s">
        <v>308</v>
      </c>
      <c r="B204" s="5" t="s">
        <v>94</v>
      </c>
      <c r="C204" s="5">
        <v>3000</v>
      </c>
      <c r="D204" s="5">
        <v>3000</v>
      </c>
      <c r="E204" s="5">
        <f>D204*[1]Rentabiliteit!$V$74</f>
        <v>3000</v>
      </c>
      <c r="F204" s="5">
        <v>3000</v>
      </c>
      <c r="G204" s="6">
        <v>97.6</v>
      </c>
      <c r="H204" s="6">
        <v>96.8</v>
      </c>
      <c r="I204" s="6">
        <v>97.4</v>
      </c>
      <c r="J204" s="5">
        <v>2</v>
      </c>
      <c r="K204" s="5" t="s">
        <v>250</v>
      </c>
      <c r="L204" s="5">
        <v>1</v>
      </c>
      <c r="M204" s="5">
        <v>1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>
        <v>150</v>
      </c>
      <c r="AC204" s="5">
        <v>125</v>
      </c>
      <c r="AD204" s="5">
        <v>500</v>
      </c>
      <c r="AE204" s="5">
        <v>580</v>
      </c>
      <c r="AF204" s="5">
        <f t="shared" si="52"/>
        <v>0</v>
      </c>
      <c r="AG204" s="5">
        <v>15</v>
      </c>
      <c r="AH204" s="5">
        <v>15</v>
      </c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>
        <f t="shared" si="54"/>
        <v>0</v>
      </c>
      <c r="AX204" s="5">
        <v>16.2</v>
      </c>
      <c r="AY204" s="5">
        <v>16.2</v>
      </c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7" t="s">
        <v>250</v>
      </c>
      <c r="BO204" s="5">
        <v>16.5</v>
      </c>
      <c r="BP204" s="5" t="s">
        <v>97</v>
      </c>
      <c r="BQ204" s="8">
        <v>41991</v>
      </c>
      <c r="BR204" s="5" t="s">
        <v>306</v>
      </c>
      <c r="BS204" s="9">
        <f t="shared" si="53"/>
        <v>3080.0821355236135</v>
      </c>
      <c r="BT204" s="6">
        <f>F204/230</f>
        <v>13.043478260869565</v>
      </c>
      <c r="BU204" s="9">
        <v>99999999</v>
      </c>
      <c r="BV204" s="9">
        <v>99999999</v>
      </c>
      <c r="BW204" s="9">
        <v>99999999</v>
      </c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>
        <v>0</v>
      </c>
      <c r="CM204" s="9" t="s">
        <v>98</v>
      </c>
    </row>
    <row r="205" spans="1:91" x14ac:dyDescent="0.3">
      <c r="A205" s="5" t="s">
        <v>309</v>
      </c>
      <c r="B205" s="5" t="s">
        <v>94</v>
      </c>
      <c r="C205" s="5">
        <v>4000</v>
      </c>
      <c r="D205" s="5">
        <v>4000</v>
      </c>
      <c r="E205" s="5">
        <f>D205*[1]Rentabiliteit!$V$74</f>
        <v>4000</v>
      </c>
      <c r="F205" s="5">
        <v>4000</v>
      </c>
      <c r="G205" s="6">
        <v>97.6</v>
      </c>
      <c r="H205" s="6">
        <v>96.8</v>
      </c>
      <c r="I205" s="6">
        <v>97.4</v>
      </c>
      <c r="J205" s="5">
        <v>2</v>
      </c>
      <c r="K205" s="5" t="s">
        <v>250</v>
      </c>
      <c r="L205" s="5">
        <v>1</v>
      </c>
      <c r="M205" s="5">
        <v>1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>
        <v>150</v>
      </c>
      <c r="AC205" s="5">
        <v>125</v>
      </c>
      <c r="AD205" s="5">
        <v>500</v>
      </c>
      <c r="AE205" s="5">
        <v>580</v>
      </c>
      <c r="AF205" s="5">
        <f t="shared" si="52"/>
        <v>0</v>
      </c>
      <c r="AG205" s="5">
        <v>15</v>
      </c>
      <c r="AH205" s="5">
        <v>15</v>
      </c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>
        <f t="shared" si="54"/>
        <v>0</v>
      </c>
      <c r="AX205" s="5">
        <v>16.2</v>
      </c>
      <c r="AY205" s="5">
        <v>16.2</v>
      </c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7" t="s">
        <v>250</v>
      </c>
      <c r="BO205" s="5">
        <v>20</v>
      </c>
      <c r="BP205" s="5" t="s">
        <v>97</v>
      </c>
      <c r="BQ205" s="8">
        <v>41991</v>
      </c>
      <c r="BR205" s="5" t="s">
        <v>306</v>
      </c>
      <c r="BS205" s="9">
        <f t="shared" si="53"/>
        <v>4106.7761806981516</v>
      </c>
      <c r="BT205" s="6">
        <f>F205/230</f>
        <v>17.391304347826086</v>
      </c>
      <c r="BU205" s="9">
        <v>99999999</v>
      </c>
      <c r="BV205" s="9">
        <v>99999999</v>
      </c>
      <c r="BW205" s="9">
        <v>99999999</v>
      </c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>
        <v>0</v>
      </c>
      <c r="CM205" s="9" t="s">
        <v>98</v>
      </c>
    </row>
    <row r="206" spans="1:91" x14ac:dyDescent="0.3">
      <c r="A206" s="5" t="s">
        <v>310</v>
      </c>
      <c r="B206" s="5" t="s">
        <v>94</v>
      </c>
      <c r="C206" s="5">
        <v>5000</v>
      </c>
      <c r="D206" s="5">
        <v>5000</v>
      </c>
      <c r="E206" s="5">
        <f>D206*[1]Rentabiliteit!$V$74</f>
        <v>5000</v>
      </c>
      <c r="F206" s="5">
        <v>5000</v>
      </c>
      <c r="G206" s="6">
        <v>97.7</v>
      </c>
      <c r="H206" s="6">
        <v>97.1</v>
      </c>
      <c r="I206" s="6">
        <v>97.5</v>
      </c>
      <c r="J206" s="5">
        <v>2</v>
      </c>
      <c r="K206" s="5" t="s">
        <v>250</v>
      </c>
      <c r="L206" s="5">
        <v>1</v>
      </c>
      <c r="M206" s="5">
        <v>1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>
        <v>150</v>
      </c>
      <c r="AC206" s="5">
        <v>125</v>
      </c>
      <c r="AD206" s="5">
        <v>500</v>
      </c>
      <c r="AE206" s="5">
        <v>580</v>
      </c>
      <c r="AF206" s="5">
        <f t="shared" si="52"/>
        <v>0</v>
      </c>
      <c r="AG206" s="5">
        <v>16</v>
      </c>
      <c r="AH206" s="5">
        <v>16</v>
      </c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>
        <f t="shared" si="54"/>
        <v>0</v>
      </c>
      <c r="AX206" s="5">
        <v>17.3</v>
      </c>
      <c r="AY206" s="5">
        <v>17.3</v>
      </c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7" t="s">
        <v>250</v>
      </c>
      <c r="BO206" s="5">
        <v>25</v>
      </c>
      <c r="BP206" s="5" t="s">
        <v>97</v>
      </c>
      <c r="BQ206" s="8">
        <v>41991</v>
      </c>
      <c r="BR206" s="5" t="s">
        <v>306</v>
      </c>
      <c r="BS206" s="9">
        <f t="shared" si="53"/>
        <v>5128.2051282051279</v>
      </c>
      <c r="BT206" s="6">
        <f>F206/230</f>
        <v>21.739130434782609</v>
      </c>
      <c r="BU206" s="9">
        <v>99999999</v>
      </c>
      <c r="BV206" s="9">
        <v>99999999</v>
      </c>
      <c r="BW206" s="9">
        <v>99999999</v>
      </c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>
        <v>0</v>
      </c>
      <c r="CM206" s="9" t="s">
        <v>98</v>
      </c>
    </row>
    <row r="207" spans="1:91" x14ac:dyDescent="0.3">
      <c r="A207" s="5" t="s">
        <v>311</v>
      </c>
      <c r="B207" s="5" t="s">
        <v>109</v>
      </c>
      <c r="C207" s="5">
        <v>6000</v>
      </c>
      <c r="D207" s="5">
        <v>6000</v>
      </c>
      <c r="E207" s="5">
        <f>D207*[1]Rentabiliteit!$V$74</f>
        <v>6000</v>
      </c>
      <c r="F207" s="5">
        <v>6000</v>
      </c>
      <c r="G207" s="6">
        <v>97.9</v>
      </c>
      <c r="H207" s="6">
        <v>97.3</v>
      </c>
      <c r="I207" s="6">
        <v>97.6</v>
      </c>
      <c r="J207" s="5">
        <v>2</v>
      </c>
      <c r="K207" s="5" t="s">
        <v>96</v>
      </c>
      <c r="L207" s="5">
        <v>2</v>
      </c>
      <c r="M207" s="5">
        <v>2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>
        <v>300</v>
      </c>
      <c r="AC207" s="5">
        <v>240</v>
      </c>
      <c r="AD207" s="5">
        <v>800</v>
      </c>
      <c r="AE207" s="5">
        <v>1000</v>
      </c>
      <c r="AF207" s="5">
        <f t="shared" si="52"/>
        <v>0</v>
      </c>
      <c r="AG207" s="5">
        <v>12</v>
      </c>
      <c r="AH207" s="5">
        <v>12</v>
      </c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>
        <f t="shared" si="54"/>
        <v>0</v>
      </c>
      <c r="AX207" s="5">
        <v>17.3</v>
      </c>
      <c r="AY207" s="5">
        <v>17.3</v>
      </c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7" t="s">
        <v>96</v>
      </c>
      <c r="BO207" s="5">
        <v>9.6999999999999993</v>
      </c>
      <c r="BP207" s="5" t="s">
        <v>97</v>
      </c>
      <c r="BQ207" s="8">
        <v>41991</v>
      </c>
      <c r="BR207" s="5" t="s">
        <v>306</v>
      </c>
      <c r="BS207" s="9">
        <f t="shared" si="53"/>
        <v>6147.5409836065573</v>
      </c>
      <c r="BT207" s="6">
        <f t="shared" ref="BT207:BT213" si="55">F207/400/SQRT(3)</f>
        <v>8.6602540378443873</v>
      </c>
      <c r="BU207" s="9">
        <v>99999999</v>
      </c>
      <c r="BV207" s="9">
        <v>99999999</v>
      </c>
      <c r="BW207" s="9">
        <v>99999999</v>
      </c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>
        <v>0</v>
      </c>
      <c r="CM207" s="9" t="s">
        <v>98</v>
      </c>
    </row>
    <row r="208" spans="1:91" x14ac:dyDescent="0.3">
      <c r="A208" s="5" t="s">
        <v>312</v>
      </c>
      <c r="B208" s="5" t="s">
        <v>109</v>
      </c>
      <c r="C208" s="5">
        <v>8000</v>
      </c>
      <c r="D208" s="5">
        <v>8000</v>
      </c>
      <c r="E208" s="5">
        <f>D208*[1]Rentabiliteit!$V$74</f>
        <v>8000</v>
      </c>
      <c r="F208" s="5">
        <v>8000</v>
      </c>
      <c r="G208" s="6">
        <v>97.9</v>
      </c>
      <c r="H208" s="6">
        <v>97.3</v>
      </c>
      <c r="I208" s="6">
        <v>97.7</v>
      </c>
      <c r="J208" s="5">
        <v>2</v>
      </c>
      <c r="K208" s="5" t="s">
        <v>96</v>
      </c>
      <c r="L208" s="5">
        <v>2</v>
      </c>
      <c r="M208" s="5">
        <v>2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>
        <v>300</v>
      </c>
      <c r="AC208" s="5">
        <v>240</v>
      </c>
      <c r="AD208" s="5">
        <v>800</v>
      </c>
      <c r="AE208" s="5">
        <v>1000</v>
      </c>
      <c r="AF208" s="5">
        <f t="shared" si="52"/>
        <v>0</v>
      </c>
      <c r="AG208" s="5">
        <v>12</v>
      </c>
      <c r="AH208" s="5">
        <v>12</v>
      </c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>
        <f t="shared" si="54"/>
        <v>0</v>
      </c>
      <c r="AX208" s="5">
        <v>17.3</v>
      </c>
      <c r="AY208" s="5">
        <v>17.3</v>
      </c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7" t="s">
        <v>96</v>
      </c>
      <c r="BO208" s="5">
        <v>12.9</v>
      </c>
      <c r="BP208" s="5" t="s">
        <v>97</v>
      </c>
      <c r="BQ208" s="8">
        <v>41991</v>
      </c>
      <c r="BR208" s="5" t="s">
        <v>306</v>
      </c>
      <c r="BS208" s="9">
        <f t="shared" si="53"/>
        <v>8188.3316274309109</v>
      </c>
      <c r="BT208" s="6">
        <f t="shared" si="55"/>
        <v>11.547005383792516</v>
      </c>
      <c r="BU208" s="9">
        <v>99999999</v>
      </c>
      <c r="BV208" s="9">
        <v>99999999</v>
      </c>
      <c r="BW208" s="9">
        <v>99999999</v>
      </c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>
        <v>0</v>
      </c>
      <c r="CM208" s="9" t="s">
        <v>98</v>
      </c>
    </row>
    <row r="209" spans="1:91" x14ac:dyDescent="0.3">
      <c r="A209" s="5" t="s">
        <v>313</v>
      </c>
      <c r="B209" s="5" t="s">
        <v>109</v>
      </c>
      <c r="C209" s="5">
        <v>10000</v>
      </c>
      <c r="D209" s="5">
        <v>10000</v>
      </c>
      <c r="E209" s="5">
        <f>D209*[1]Rentabiliteit!$V$74</f>
        <v>10000</v>
      </c>
      <c r="F209" s="5">
        <v>10000</v>
      </c>
      <c r="G209" s="6">
        <v>98</v>
      </c>
      <c r="H209" s="6">
        <v>97.5</v>
      </c>
      <c r="I209" s="6">
        <v>97.7</v>
      </c>
      <c r="J209" s="5">
        <v>2</v>
      </c>
      <c r="K209" s="5" t="s">
        <v>96</v>
      </c>
      <c r="L209" s="5">
        <v>2</v>
      </c>
      <c r="M209" s="5">
        <v>2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>
        <v>300</v>
      </c>
      <c r="AC209" s="5">
        <v>240</v>
      </c>
      <c r="AD209" s="5">
        <v>800</v>
      </c>
      <c r="AE209" s="5">
        <v>1000</v>
      </c>
      <c r="AF209" s="5">
        <f t="shared" si="52"/>
        <v>0</v>
      </c>
      <c r="AG209" s="5">
        <v>12</v>
      </c>
      <c r="AH209" s="5">
        <v>12</v>
      </c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>
        <f t="shared" si="54"/>
        <v>0</v>
      </c>
      <c r="AX209" s="5">
        <v>17.3</v>
      </c>
      <c r="AY209" s="5">
        <v>17.3</v>
      </c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7" t="s">
        <v>96</v>
      </c>
      <c r="BO209" s="5">
        <v>16.100000000000001</v>
      </c>
      <c r="BP209" s="5" t="s">
        <v>97</v>
      </c>
      <c r="BQ209" s="8">
        <v>41991</v>
      </c>
      <c r="BR209" s="5" t="s">
        <v>306</v>
      </c>
      <c r="BS209" s="9">
        <f t="shared" si="53"/>
        <v>10235.414534288639</v>
      </c>
      <c r="BT209" s="6">
        <f t="shared" si="55"/>
        <v>14.433756729740645</v>
      </c>
      <c r="BU209" s="9">
        <v>99999999</v>
      </c>
      <c r="BV209" s="9">
        <v>99999999</v>
      </c>
      <c r="BW209" s="9">
        <v>99999999</v>
      </c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>
        <v>0</v>
      </c>
      <c r="CM209" s="9" t="s">
        <v>98</v>
      </c>
    </row>
    <row r="210" spans="1:91" x14ac:dyDescent="0.3">
      <c r="A210" s="5" t="s">
        <v>314</v>
      </c>
      <c r="B210" s="5" t="s">
        <v>109</v>
      </c>
      <c r="C210" s="5">
        <v>12000</v>
      </c>
      <c r="D210" s="5">
        <v>12000</v>
      </c>
      <c r="E210" s="5">
        <f>D210*[1]Rentabiliteit!$V$74</f>
        <v>12000</v>
      </c>
      <c r="F210" s="5">
        <v>12000</v>
      </c>
      <c r="G210" s="6">
        <v>98.1</v>
      </c>
      <c r="H210" s="6">
        <v>97.4</v>
      </c>
      <c r="I210" s="6">
        <v>97.8</v>
      </c>
      <c r="J210" s="5">
        <v>2</v>
      </c>
      <c r="K210" s="5" t="s">
        <v>96</v>
      </c>
      <c r="L210" s="5">
        <v>2</v>
      </c>
      <c r="M210" s="5">
        <v>2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>
        <v>300</v>
      </c>
      <c r="AC210" s="5">
        <v>240</v>
      </c>
      <c r="AD210" s="5">
        <v>800</v>
      </c>
      <c r="AE210" s="5">
        <v>1000</v>
      </c>
      <c r="AF210" s="5">
        <f t="shared" si="52"/>
        <v>0</v>
      </c>
      <c r="AG210" s="5">
        <v>18</v>
      </c>
      <c r="AH210" s="5">
        <v>18</v>
      </c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>
        <f t="shared" si="54"/>
        <v>0</v>
      </c>
      <c r="AX210" s="5">
        <v>19.399999999999999</v>
      </c>
      <c r="AY210" s="5">
        <v>19.399999999999999</v>
      </c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7" t="s">
        <v>96</v>
      </c>
      <c r="BO210" s="5">
        <v>19.3</v>
      </c>
      <c r="BP210" s="5" t="s">
        <v>97</v>
      </c>
      <c r="BQ210" s="8">
        <v>42122</v>
      </c>
      <c r="BR210" s="5" t="s">
        <v>306</v>
      </c>
      <c r="BS210" s="9">
        <f t="shared" si="53"/>
        <v>12269.938650306749</v>
      </c>
      <c r="BT210" s="6">
        <f t="shared" si="55"/>
        <v>17.320508075688775</v>
      </c>
      <c r="BU210" s="9">
        <v>99999999</v>
      </c>
      <c r="BV210" s="9">
        <v>99999999</v>
      </c>
      <c r="BW210" s="9">
        <v>99999999</v>
      </c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>
        <v>0</v>
      </c>
      <c r="CM210" s="9" t="s">
        <v>98</v>
      </c>
    </row>
    <row r="211" spans="1:91" x14ac:dyDescent="0.3">
      <c r="A211" s="5" t="s">
        <v>315</v>
      </c>
      <c r="B211" s="5" t="s">
        <v>109</v>
      </c>
      <c r="C211" s="5">
        <v>15000</v>
      </c>
      <c r="D211" s="5">
        <v>15000</v>
      </c>
      <c r="E211" s="5">
        <f>D211*[1]Rentabiliteit!$V$74</f>
        <v>15000</v>
      </c>
      <c r="F211" s="5">
        <v>15000</v>
      </c>
      <c r="G211" s="6">
        <v>98.1</v>
      </c>
      <c r="H211" s="6">
        <v>97.5</v>
      </c>
      <c r="I211" s="6">
        <v>97.8</v>
      </c>
      <c r="J211" s="5">
        <v>2</v>
      </c>
      <c r="K211" s="5" t="s">
        <v>96</v>
      </c>
      <c r="L211" s="5">
        <v>3</v>
      </c>
      <c r="M211" s="5">
        <v>3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>
        <v>300</v>
      </c>
      <c r="AC211" s="5">
        <v>240</v>
      </c>
      <c r="AD211" s="5">
        <v>800</v>
      </c>
      <c r="AE211" s="5">
        <v>1000</v>
      </c>
      <c r="AF211" s="5">
        <f t="shared" si="52"/>
        <v>0</v>
      </c>
      <c r="AG211" s="5">
        <v>22</v>
      </c>
      <c r="AH211" s="5">
        <v>22</v>
      </c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>
        <f t="shared" si="54"/>
        <v>0</v>
      </c>
      <c r="AX211" s="5">
        <v>23.8</v>
      </c>
      <c r="AY211" s="5">
        <v>23.8</v>
      </c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7" t="s">
        <v>96</v>
      </c>
      <c r="BO211" s="5">
        <v>24.2</v>
      </c>
      <c r="BP211" s="5" t="s">
        <v>97</v>
      </c>
      <c r="BQ211" s="8">
        <v>42122</v>
      </c>
      <c r="BR211" s="5" t="s">
        <v>306</v>
      </c>
      <c r="BS211" s="9">
        <f t="shared" si="53"/>
        <v>15337.423312883437</v>
      </c>
      <c r="BT211" s="6">
        <f t="shared" si="55"/>
        <v>21.650635094610969</v>
      </c>
      <c r="BU211" s="9">
        <v>99999999</v>
      </c>
      <c r="BV211" s="9">
        <v>99999999</v>
      </c>
      <c r="BW211" s="9">
        <v>99999999</v>
      </c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>
        <v>0</v>
      </c>
      <c r="CM211" s="9" t="s">
        <v>98</v>
      </c>
    </row>
    <row r="212" spans="1:91" x14ac:dyDescent="0.3">
      <c r="A212" s="5" t="s">
        <v>316</v>
      </c>
      <c r="B212" s="5" t="s">
        <v>109</v>
      </c>
      <c r="C212" s="5">
        <v>17000</v>
      </c>
      <c r="D212" s="5">
        <v>17000</v>
      </c>
      <c r="E212" s="5">
        <f>D212*[1]Rentabiliteit!$V$74</f>
        <v>17000</v>
      </c>
      <c r="F212" s="5">
        <v>17000</v>
      </c>
      <c r="G212" s="6">
        <v>98.1</v>
      </c>
      <c r="H212" s="6">
        <v>97.5</v>
      </c>
      <c r="I212" s="6">
        <v>97.9</v>
      </c>
      <c r="J212" s="5">
        <v>2</v>
      </c>
      <c r="K212" s="5" t="s">
        <v>96</v>
      </c>
      <c r="L212" s="5">
        <v>3</v>
      </c>
      <c r="M212" s="5">
        <v>3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>
        <v>300</v>
      </c>
      <c r="AC212" s="5">
        <v>240</v>
      </c>
      <c r="AD212" s="5">
        <v>800</v>
      </c>
      <c r="AE212" s="5">
        <v>1000</v>
      </c>
      <c r="AF212" s="5">
        <f t="shared" si="52"/>
        <v>0</v>
      </c>
      <c r="AG212" s="5">
        <v>22</v>
      </c>
      <c r="AH212" s="5">
        <v>22</v>
      </c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>
        <f t="shared" si="54"/>
        <v>0</v>
      </c>
      <c r="AX212" s="5">
        <v>23.8</v>
      </c>
      <c r="AY212" s="5">
        <v>23.8</v>
      </c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7" t="s">
        <v>96</v>
      </c>
      <c r="BO212" s="5">
        <v>27.4</v>
      </c>
      <c r="BP212" s="5" t="s">
        <v>97</v>
      </c>
      <c r="BQ212" s="8">
        <v>42122</v>
      </c>
      <c r="BR212" s="5" t="s">
        <v>306</v>
      </c>
      <c r="BS212" s="9">
        <f t="shared" si="53"/>
        <v>17364.657814096015</v>
      </c>
      <c r="BT212" s="6">
        <f t="shared" si="55"/>
        <v>24.537386440559096</v>
      </c>
      <c r="BU212" s="9">
        <v>99999999</v>
      </c>
      <c r="BV212" s="9">
        <v>99999999</v>
      </c>
      <c r="BW212" s="9">
        <v>99999999</v>
      </c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>
        <v>0</v>
      </c>
      <c r="CM212" s="9" t="s">
        <v>98</v>
      </c>
    </row>
    <row r="213" spans="1:91" x14ac:dyDescent="0.3">
      <c r="A213" s="5" t="s">
        <v>317</v>
      </c>
      <c r="B213" s="5" t="s">
        <v>109</v>
      </c>
      <c r="C213" s="5">
        <v>20000</v>
      </c>
      <c r="D213" s="5">
        <v>20000</v>
      </c>
      <c r="E213" s="5">
        <f>D213*[1]Rentabiliteit!$V$74</f>
        <v>20000</v>
      </c>
      <c r="F213" s="5">
        <v>20000</v>
      </c>
      <c r="G213" s="6">
        <v>98.1</v>
      </c>
      <c r="H213" s="6">
        <v>97.5</v>
      </c>
      <c r="I213" s="6">
        <v>97.9</v>
      </c>
      <c r="J213" s="5">
        <v>2</v>
      </c>
      <c r="K213" s="5" t="s">
        <v>96</v>
      </c>
      <c r="L213" s="5">
        <v>3</v>
      </c>
      <c r="M213" s="5">
        <v>3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>
        <v>300</v>
      </c>
      <c r="AC213" s="5">
        <v>240</v>
      </c>
      <c r="AD213" s="5">
        <v>800</v>
      </c>
      <c r="AE213" s="5">
        <v>1000</v>
      </c>
      <c r="AF213" s="5">
        <f t="shared" si="52"/>
        <v>0</v>
      </c>
      <c r="AG213" s="5">
        <v>22</v>
      </c>
      <c r="AH213" s="5">
        <v>22</v>
      </c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>
        <f t="shared" si="54"/>
        <v>0</v>
      </c>
      <c r="AX213" s="5">
        <v>23.8</v>
      </c>
      <c r="AY213" s="5">
        <v>23.8</v>
      </c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7" t="s">
        <v>96</v>
      </c>
      <c r="BO213" s="5">
        <v>31</v>
      </c>
      <c r="BP213" s="5" t="s">
        <v>97</v>
      </c>
      <c r="BQ213" s="8">
        <v>41991</v>
      </c>
      <c r="BR213" s="5" t="s">
        <v>306</v>
      </c>
      <c r="BS213" s="9">
        <f t="shared" si="53"/>
        <v>20429.009193054135</v>
      </c>
      <c r="BT213" s="6">
        <f t="shared" si="55"/>
        <v>28.867513459481291</v>
      </c>
      <c r="BU213" s="9">
        <v>99999999</v>
      </c>
      <c r="BV213" s="9">
        <v>99999999</v>
      </c>
      <c r="BW213" s="9">
        <v>99999999</v>
      </c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>
        <v>0</v>
      </c>
      <c r="CM213" s="9" t="s">
        <v>98</v>
      </c>
    </row>
    <row r="214" spans="1:91" x14ac:dyDescent="0.3">
      <c r="A214" s="5" t="s">
        <v>122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9">
        <v>9999999</v>
      </c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9"/>
      <c r="CM214" s="9"/>
    </row>
    <row r="215" spans="1:91" ht="15.6" x14ac:dyDescent="0.3">
      <c r="A215" s="11"/>
      <c r="B215" s="42"/>
      <c r="C215" s="11"/>
      <c r="D215" s="11"/>
      <c r="E215" s="11"/>
      <c r="F215" s="11"/>
      <c r="G215" s="3"/>
      <c r="H215" s="3"/>
      <c r="I215" s="3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3"/>
      <c r="BP215" s="11"/>
      <c r="BQ215" s="43"/>
      <c r="BR215" s="11"/>
      <c r="BS215" s="12"/>
      <c r="BT215" s="3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2"/>
      <c r="CM215" s="12"/>
    </row>
    <row r="216" spans="1:91" ht="15.6" x14ac:dyDescent="0.3">
      <c r="A216" s="1" t="s">
        <v>318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11"/>
      <c r="BS216" s="12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</row>
    <row r="217" spans="1:91" x14ac:dyDescent="0.3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5" t="s">
        <v>6</v>
      </c>
      <c r="G217" s="5" t="s">
        <v>7</v>
      </c>
      <c r="H217" s="5" t="s">
        <v>8</v>
      </c>
      <c r="I217" s="5" t="s">
        <v>9</v>
      </c>
      <c r="J217" s="5" t="s">
        <v>10</v>
      </c>
      <c r="K217" s="5" t="s">
        <v>11</v>
      </c>
      <c r="L217" s="5" t="s">
        <v>12</v>
      </c>
      <c r="M217" s="5" t="s">
        <v>13</v>
      </c>
      <c r="N217" s="5" t="s">
        <v>14</v>
      </c>
      <c r="O217" s="5" t="s">
        <v>15</v>
      </c>
      <c r="P217" s="5" t="s">
        <v>16</v>
      </c>
      <c r="Q217" s="5" t="s">
        <v>17</v>
      </c>
      <c r="R217" s="5" t="s">
        <v>18</v>
      </c>
      <c r="S217" s="5" t="s">
        <v>19</v>
      </c>
      <c r="T217" s="5" t="s">
        <v>20</v>
      </c>
      <c r="U217" s="5" t="s">
        <v>21</v>
      </c>
      <c r="V217" s="5" t="s">
        <v>22</v>
      </c>
      <c r="W217" s="5" t="s">
        <v>23</v>
      </c>
      <c r="X217" s="5" t="s">
        <v>24</v>
      </c>
      <c r="Y217" s="5" t="s">
        <v>25</v>
      </c>
      <c r="Z217" s="5" t="s">
        <v>26</v>
      </c>
      <c r="AA217" s="5" t="s">
        <v>27</v>
      </c>
      <c r="AB217" s="5" t="s">
        <v>28</v>
      </c>
      <c r="AC217" s="5" t="s">
        <v>29</v>
      </c>
      <c r="AD217" s="5" t="s">
        <v>30</v>
      </c>
      <c r="AE217" s="5" t="s">
        <v>31</v>
      </c>
      <c r="AF217" s="5" t="s">
        <v>32</v>
      </c>
      <c r="AG217" s="5" t="s">
        <v>33</v>
      </c>
      <c r="AH217" s="5" t="s">
        <v>34</v>
      </c>
      <c r="AI217" s="5" t="s">
        <v>35</v>
      </c>
      <c r="AJ217" s="5" t="s">
        <v>36</v>
      </c>
      <c r="AK217" s="5" t="s">
        <v>37</v>
      </c>
      <c r="AL217" s="5" t="s">
        <v>38</v>
      </c>
      <c r="AM217" s="5" t="s">
        <v>39</v>
      </c>
      <c r="AN217" s="5" t="s">
        <v>40</v>
      </c>
      <c r="AO217" s="5" t="s">
        <v>41</v>
      </c>
      <c r="AP217" s="5" t="s">
        <v>42</v>
      </c>
      <c r="AQ217" s="5" t="s">
        <v>43</v>
      </c>
      <c r="AR217" s="5" t="s">
        <v>44</v>
      </c>
      <c r="AS217" s="5" t="s">
        <v>45</v>
      </c>
      <c r="AT217" s="5" t="s">
        <v>46</v>
      </c>
      <c r="AU217" s="5" t="s">
        <v>47</v>
      </c>
      <c r="AV217" s="5" t="s">
        <v>48</v>
      </c>
      <c r="AW217" s="5" t="s">
        <v>49</v>
      </c>
      <c r="AX217" s="5" t="s">
        <v>50</v>
      </c>
      <c r="AY217" s="5" t="s">
        <v>51</v>
      </c>
      <c r="AZ217" s="5" t="s">
        <v>52</v>
      </c>
      <c r="BA217" s="5" t="s">
        <v>53</v>
      </c>
      <c r="BB217" s="5" t="s">
        <v>54</v>
      </c>
      <c r="BC217" s="5" t="s">
        <v>55</v>
      </c>
      <c r="BD217" s="5" t="s">
        <v>56</v>
      </c>
      <c r="BE217" s="5" t="s">
        <v>57</v>
      </c>
      <c r="BF217" s="5" t="s">
        <v>58</v>
      </c>
      <c r="BG217" s="5" t="s">
        <v>59</v>
      </c>
      <c r="BH217" s="5" t="s">
        <v>60</v>
      </c>
      <c r="BI217" s="5" t="s">
        <v>61</v>
      </c>
      <c r="BJ217" s="5" t="s">
        <v>62</v>
      </c>
      <c r="BK217" s="5" t="s">
        <v>63</v>
      </c>
      <c r="BL217" s="5" t="s">
        <v>64</v>
      </c>
      <c r="BM217" s="5" t="s">
        <v>65</v>
      </c>
      <c r="BN217" s="5" t="s">
        <v>66</v>
      </c>
      <c r="BO217" s="5" t="s">
        <v>67</v>
      </c>
      <c r="BP217" s="5" t="s">
        <v>68</v>
      </c>
      <c r="BQ217" s="5" t="s">
        <v>69</v>
      </c>
      <c r="BR217" s="5" t="s">
        <v>70</v>
      </c>
      <c r="BS217" s="5" t="s">
        <v>71</v>
      </c>
      <c r="BT217" s="5" t="s">
        <v>72</v>
      </c>
      <c r="BU217" s="5" t="s">
        <v>73</v>
      </c>
      <c r="BV217" s="5" t="s">
        <v>74</v>
      </c>
      <c r="BW217" s="5" t="s">
        <v>75</v>
      </c>
      <c r="BX217" s="5" t="s">
        <v>76</v>
      </c>
      <c r="BY217" s="5" t="s">
        <v>77</v>
      </c>
      <c r="BZ217" s="5" t="s">
        <v>78</v>
      </c>
      <c r="CA217" s="5" t="s">
        <v>79</v>
      </c>
      <c r="CB217" s="5" t="s">
        <v>80</v>
      </c>
      <c r="CC217" s="5" t="s">
        <v>81</v>
      </c>
      <c r="CD217" s="5" t="s">
        <v>82</v>
      </c>
      <c r="CE217" s="5" t="s">
        <v>83</v>
      </c>
      <c r="CF217" s="5" t="s">
        <v>84</v>
      </c>
      <c r="CG217" s="5" t="s">
        <v>85</v>
      </c>
      <c r="CH217" s="5" t="s">
        <v>86</v>
      </c>
      <c r="CI217" s="5" t="s">
        <v>87</v>
      </c>
      <c r="CJ217" s="5" t="s">
        <v>88</v>
      </c>
      <c r="CK217" s="5" t="s">
        <v>89</v>
      </c>
      <c r="CL217" s="5" t="s">
        <v>90</v>
      </c>
      <c r="CM217" s="5" t="s">
        <v>91</v>
      </c>
    </row>
    <row r="218" spans="1:91" x14ac:dyDescent="0.3">
      <c r="A218" s="5" t="s">
        <v>92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8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</row>
    <row r="219" spans="1:91" x14ac:dyDescent="0.3">
      <c r="A219" s="5" t="s">
        <v>319</v>
      </c>
      <c r="B219" s="5" t="s">
        <v>94</v>
      </c>
      <c r="C219" s="5">
        <v>3000</v>
      </c>
      <c r="D219" s="5">
        <v>3300</v>
      </c>
      <c r="E219" s="5">
        <f>D219*[1]Rentabiliteit!$V$74</f>
        <v>3300</v>
      </c>
      <c r="F219" s="5">
        <v>3300</v>
      </c>
      <c r="G219" s="6">
        <v>98</v>
      </c>
      <c r="H219" s="6">
        <v>97</v>
      </c>
      <c r="I219" s="6"/>
      <c r="J219" s="5">
        <v>2</v>
      </c>
      <c r="K219" s="5" t="s">
        <v>113</v>
      </c>
      <c r="L219" s="5">
        <v>1</v>
      </c>
      <c r="M219" s="5">
        <v>1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>
        <v>100</v>
      </c>
      <c r="AC219" s="5">
        <v>50</v>
      </c>
      <c r="AD219" s="5">
        <v>550</v>
      </c>
      <c r="AE219" s="5">
        <v>600</v>
      </c>
      <c r="AF219" s="5">
        <f t="shared" ref="AF219:AF233" si="56">IF(OR($K219=1,$L219="Yes"),SUM(AG219:AV219),0)</f>
        <v>0</v>
      </c>
      <c r="AG219" s="5">
        <v>16</v>
      </c>
      <c r="AH219" s="5">
        <v>16</v>
      </c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>
        <f>IF(OR($K219=1,$L219="Yes"),SUM(AX219:BM219),0)</f>
        <v>0</v>
      </c>
      <c r="AX219" s="5">
        <v>20</v>
      </c>
      <c r="AY219" s="5">
        <v>20</v>
      </c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7" t="s">
        <v>250</v>
      </c>
      <c r="BO219" s="5">
        <v>15</v>
      </c>
      <c r="BP219" s="5" t="s">
        <v>320</v>
      </c>
      <c r="BQ219" s="8">
        <v>45600</v>
      </c>
      <c r="BR219" s="5"/>
      <c r="BS219" s="9">
        <f t="shared" ref="BS219:BS233" si="57">E219/(IF(I219=0,G219,I219)/100)</f>
        <v>3367.3469387755104</v>
      </c>
      <c r="BT219" s="6">
        <f>F219/230</f>
        <v>14.347826086956522</v>
      </c>
      <c r="BU219" s="9">
        <v>6000</v>
      </c>
      <c r="BV219" s="20">
        <f t="shared" ref="BV219:BY233" ca="1" si="58">$BV219</f>
        <v>6000</v>
      </c>
      <c r="BW219" s="20">
        <f t="shared" ca="1" si="58"/>
        <v>6000</v>
      </c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 t="s">
        <v>200</v>
      </c>
    </row>
    <row r="220" spans="1:91" x14ac:dyDescent="0.3">
      <c r="A220" s="5" t="s">
        <v>321</v>
      </c>
      <c r="B220" s="5" t="s">
        <v>94</v>
      </c>
      <c r="C220" s="5">
        <v>3680</v>
      </c>
      <c r="D220" s="5">
        <v>3680</v>
      </c>
      <c r="E220" s="5">
        <f>D220*[1]Rentabiliteit!$V$74</f>
        <v>3680</v>
      </c>
      <c r="F220" s="5">
        <v>3680</v>
      </c>
      <c r="G220" s="6">
        <v>98</v>
      </c>
      <c r="H220" s="6">
        <v>97.1</v>
      </c>
      <c r="I220" s="6"/>
      <c r="J220" s="5">
        <v>2</v>
      </c>
      <c r="K220" s="5" t="s">
        <v>113</v>
      </c>
      <c r="L220" s="5">
        <v>1</v>
      </c>
      <c r="M220" s="5">
        <v>1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>
        <v>100</v>
      </c>
      <c r="AC220" s="5">
        <v>50</v>
      </c>
      <c r="AD220" s="5">
        <v>550</v>
      </c>
      <c r="AE220" s="5">
        <v>600</v>
      </c>
      <c r="AF220" s="5">
        <f t="shared" si="56"/>
        <v>0</v>
      </c>
      <c r="AG220" s="5">
        <v>16</v>
      </c>
      <c r="AH220" s="5">
        <v>16</v>
      </c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>
        <f t="shared" ref="AW220:AW233" si="59">IF(OR($K220=1,$L220="Yes"),SUM(AX220:BM220),0)</f>
        <v>0</v>
      </c>
      <c r="AX220" s="5">
        <v>20</v>
      </c>
      <c r="AY220" s="5">
        <v>20</v>
      </c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7" t="s">
        <v>250</v>
      </c>
      <c r="BO220" s="5">
        <v>16</v>
      </c>
      <c r="BP220" s="5" t="s">
        <v>320</v>
      </c>
      <c r="BQ220" s="8">
        <v>45600</v>
      </c>
      <c r="BR220" s="5"/>
      <c r="BS220" s="9">
        <f t="shared" si="57"/>
        <v>3755.1020408163267</v>
      </c>
      <c r="BT220" s="6">
        <f t="shared" ref="BT220:BT233" si="60">F220/230</f>
        <v>16</v>
      </c>
      <c r="BU220" s="9">
        <v>7360</v>
      </c>
      <c r="BV220" s="20">
        <f t="shared" ca="1" si="58"/>
        <v>7360</v>
      </c>
      <c r="BW220" s="20">
        <f t="shared" ca="1" si="58"/>
        <v>7360</v>
      </c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 t="s">
        <v>200</v>
      </c>
    </row>
    <row r="221" spans="1:91" x14ac:dyDescent="0.3">
      <c r="A221" s="5" t="s">
        <v>322</v>
      </c>
      <c r="B221" s="5" t="s">
        <v>94</v>
      </c>
      <c r="C221" s="5">
        <v>4000</v>
      </c>
      <c r="D221" s="5">
        <v>4400</v>
      </c>
      <c r="E221" s="5">
        <f>D221*[1]Rentabiliteit!$V$74</f>
        <v>4400</v>
      </c>
      <c r="F221" s="5">
        <v>4400</v>
      </c>
      <c r="G221" s="6">
        <v>98</v>
      </c>
      <c r="H221" s="6">
        <v>98.2</v>
      </c>
      <c r="I221" s="6"/>
      <c r="J221" s="5">
        <v>2</v>
      </c>
      <c r="K221" s="5" t="s">
        <v>113</v>
      </c>
      <c r="L221" s="5">
        <v>1</v>
      </c>
      <c r="M221" s="5">
        <v>1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>
        <v>100</v>
      </c>
      <c r="AC221" s="5">
        <v>50</v>
      </c>
      <c r="AD221" s="5">
        <v>550</v>
      </c>
      <c r="AE221" s="5">
        <v>600</v>
      </c>
      <c r="AF221" s="5">
        <f t="shared" si="56"/>
        <v>0</v>
      </c>
      <c r="AG221" s="5">
        <v>16</v>
      </c>
      <c r="AH221" s="5">
        <v>16</v>
      </c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>
        <f t="shared" si="59"/>
        <v>0</v>
      </c>
      <c r="AX221" s="5">
        <v>20</v>
      </c>
      <c r="AY221" s="5">
        <v>20</v>
      </c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7" t="s">
        <v>250</v>
      </c>
      <c r="BO221" s="5">
        <v>20</v>
      </c>
      <c r="BP221" s="5" t="s">
        <v>320</v>
      </c>
      <c r="BQ221" s="8">
        <v>45600</v>
      </c>
      <c r="BR221" s="5"/>
      <c r="BS221" s="9">
        <f t="shared" si="57"/>
        <v>4489.7959183673474</v>
      </c>
      <c r="BT221" s="6">
        <f t="shared" si="60"/>
        <v>19.130434782608695</v>
      </c>
      <c r="BU221" s="9">
        <v>8000</v>
      </c>
      <c r="BV221" s="20">
        <f t="shared" ca="1" si="58"/>
        <v>8000</v>
      </c>
      <c r="BW221" s="20">
        <f t="shared" ca="1" si="58"/>
        <v>8000</v>
      </c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 t="s">
        <v>200</v>
      </c>
    </row>
    <row r="222" spans="1:91" x14ac:dyDescent="0.3">
      <c r="A222" s="5" t="s">
        <v>323</v>
      </c>
      <c r="B222" s="5" t="s">
        <v>94</v>
      </c>
      <c r="C222" s="5">
        <v>4600</v>
      </c>
      <c r="D222" s="5">
        <v>5000</v>
      </c>
      <c r="E222" s="5">
        <f>D222*[1]Rentabiliteit!$V$74</f>
        <v>5000</v>
      </c>
      <c r="F222" s="5">
        <v>5000</v>
      </c>
      <c r="G222" s="6">
        <v>98</v>
      </c>
      <c r="H222" s="6">
        <v>97.3</v>
      </c>
      <c r="I222" s="6"/>
      <c r="J222" s="5">
        <v>2</v>
      </c>
      <c r="K222" s="5" t="s">
        <v>113</v>
      </c>
      <c r="L222" s="5">
        <v>1</v>
      </c>
      <c r="M222" s="5">
        <v>1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>
        <v>100</v>
      </c>
      <c r="AC222" s="5">
        <v>50</v>
      </c>
      <c r="AD222" s="5">
        <v>550</v>
      </c>
      <c r="AE222" s="5">
        <v>600</v>
      </c>
      <c r="AF222" s="5">
        <f t="shared" si="56"/>
        <v>0</v>
      </c>
      <c r="AG222" s="5">
        <v>16</v>
      </c>
      <c r="AH222" s="5">
        <v>16</v>
      </c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>
        <f t="shared" si="59"/>
        <v>0</v>
      </c>
      <c r="AX222" s="5">
        <v>20</v>
      </c>
      <c r="AY222" s="5">
        <v>20</v>
      </c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7" t="s">
        <v>250</v>
      </c>
      <c r="BO222" s="5">
        <v>22.7</v>
      </c>
      <c r="BP222" s="5" t="s">
        <v>320</v>
      </c>
      <c r="BQ222" s="8">
        <v>45600</v>
      </c>
      <c r="BR222" s="5"/>
      <c r="BS222" s="9">
        <f t="shared" si="57"/>
        <v>5102.0408163265311</v>
      </c>
      <c r="BT222" s="6">
        <f t="shared" si="60"/>
        <v>21.739130434782609</v>
      </c>
      <c r="BU222" s="9">
        <v>9200</v>
      </c>
      <c r="BV222" s="20">
        <f t="shared" ca="1" si="58"/>
        <v>9200</v>
      </c>
      <c r="BW222" s="20">
        <f t="shared" ca="1" si="58"/>
        <v>9200</v>
      </c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 t="s">
        <v>200</v>
      </c>
    </row>
    <row r="223" spans="1:91" x14ac:dyDescent="0.3">
      <c r="A223" s="5" t="s">
        <v>324</v>
      </c>
      <c r="B223" s="5" t="s">
        <v>94</v>
      </c>
      <c r="C223" s="5">
        <v>5000</v>
      </c>
      <c r="D223" s="5">
        <v>5500</v>
      </c>
      <c r="E223" s="5">
        <f>D223*[1]Rentabiliteit!$V$74</f>
        <v>5500</v>
      </c>
      <c r="F223" s="5">
        <v>5500</v>
      </c>
      <c r="G223" s="6">
        <v>98</v>
      </c>
      <c r="H223" s="6">
        <v>97.4</v>
      </c>
      <c r="I223" s="6"/>
      <c r="J223" s="5">
        <v>2</v>
      </c>
      <c r="K223" s="5" t="s">
        <v>113</v>
      </c>
      <c r="L223" s="5">
        <v>1</v>
      </c>
      <c r="M223" s="5">
        <v>1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>
        <v>100</v>
      </c>
      <c r="AC223" s="5">
        <v>50</v>
      </c>
      <c r="AD223" s="5">
        <v>550</v>
      </c>
      <c r="AE223" s="5">
        <v>600</v>
      </c>
      <c r="AF223" s="5">
        <f t="shared" si="56"/>
        <v>0</v>
      </c>
      <c r="AG223" s="5">
        <v>16</v>
      </c>
      <c r="AH223" s="5">
        <v>16</v>
      </c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>
        <f t="shared" si="59"/>
        <v>0</v>
      </c>
      <c r="AX223" s="5">
        <v>20</v>
      </c>
      <c r="AY223" s="5">
        <v>20</v>
      </c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7" t="s">
        <v>250</v>
      </c>
      <c r="BO223" s="5">
        <v>25</v>
      </c>
      <c r="BP223" s="5" t="s">
        <v>320</v>
      </c>
      <c r="BQ223" s="8">
        <v>45600</v>
      </c>
      <c r="BR223" s="5" t="s">
        <v>325</v>
      </c>
      <c r="BS223" s="9">
        <f t="shared" si="57"/>
        <v>5612.2448979591836</v>
      </c>
      <c r="BT223" s="6">
        <f t="shared" si="60"/>
        <v>23.913043478260871</v>
      </c>
      <c r="BU223" s="9">
        <v>10000</v>
      </c>
      <c r="BV223" s="20">
        <f t="shared" ca="1" si="58"/>
        <v>10000</v>
      </c>
      <c r="BW223" s="20">
        <f t="shared" ca="1" si="58"/>
        <v>10000</v>
      </c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 t="s">
        <v>326</v>
      </c>
    </row>
    <row r="224" spans="1:91" x14ac:dyDescent="0.3">
      <c r="A224" s="5" t="s">
        <v>327</v>
      </c>
      <c r="B224" s="5" t="s">
        <v>94</v>
      </c>
      <c r="C224" s="5">
        <v>6000</v>
      </c>
      <c r="D224" s="5">
        <v>6600</v>
      </c>
      <c r="E224" s="5">
        <f>D224*[1]Rentabiliteit!$V$74</f>
        <v>6600</v>
      </c>
      <c r="F224" s="5">
        <v>6600</v>
      </c>
      <c r="G224" s="6">
        <v>98</v>
      </c>
      <c r="H224" s="6">
        <v>97.4</v>
      </c>
      <c r="I224" s="6"/>
      <c r="J224" s="5">
        <v>2</v>
      </c>
      <c r="K224" s="5" t="s">
        <v>113</v>
      </c>
      <c r="L224" s="5">
        <v>1</v>
      </c>
      <c r="M224" s="5">
        <v>1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>
        <v>100</v>
      </c>
      <c r="AC224" s="5">
        <v>50</v>
      </c>
      <c r="AD224" s="5">
        <v>550</v>
      </c>
      <c r="AE224" s="5">
        <v>600</v>
      </c>
      <c r="AF224" s="5">
        <f t="shared" si="56"/>
        <v>0</v>
      </c>
      <c r="AG224" s="5">
        <v>16</v>
      </c>
      <c r="AH224" s="5">
        <v>16</v>
      </c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>
        <f t="shared" si="59"/>
        <v>0</v>
      </c>
      <c r="AX224" s="5">
        <v>20</v>
      </c>
      <c r="AY224" s="5">
        <v>20</v>
      </c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7" t="s">
        <v>250</v>
      </c>
      <c r="BO224" s="5">
        <v>30</v>
      </c>
      <c r="BP224" s="5" t="s">
        <v>320</v>
      </c>
      <c r="BQ224" s="8">
        <v>45600</v>
      </c>
      <c r="BR224" s="5" t="s">
        <v>325</v>
      </c>
      <c r="BS224" s="9">
        <f t="shared" si="57"/>
        <v>6734.6938775510207</v>
      </c>
      <c r="BT224" s="6">
        <f t="shared" si="60"/>
        <v>28.695652173913043</v>
      </c>
      <c r="BU224" s="9">
        <v>12000</v>
      </c>
      <c r="BV224" s="20">
        <f t="shared" ca="1" si="58"/>
        <v>12000</v>
      </c>
      <c r="BW224" s="20">
        <f t="shared" ca="1" si="58"/>
        <v>12000</v>
      </c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 t="s">
        <v>326</v>
      </c>
    </row>
    <row r="225" spans="1:91" x14ac:dyDescent="0.3">
      <c r="A225" s="5" t="s">
        <v>328</v>
      </c>
      <c r="B225" s="5" t="s">
        <v>109</v>
      </c>
      <c r="C225" s="5">
        <v>5000</v>
      </c>
      <c r="D225" s="5">
        <v>5500</v>
      </c>
      <c r="E225" s="5">
        <f>D225*[1]Rentabiliteit!$V$74</f>
        <v>5500</v>
      </c>
      <c r="F225" s="5">
        <v>5500</v>
      </c>
      <c r="G225" s="6">
        <v>98.1</v>
      </c>
      <c r="H225" s="6">
        <v>96.1</v>
      </c>
      <c r="I225" s="6"/>
      <c r="J225" s="5">
        <v>2</v>
      </c>
      <c r="K225" s="5" t="s">
        <v>113</v>
      </c>
      <c r="L225" s="5">
        <v>1</v>
      </c>
      <c r="M225" s="5">
        <v>1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>
        <v>180</v>
      </c>
      <c r="AC225" s="5">
        <v>160</v>
      </c>
      <c r="AD225" s="5">
        <v>1000</v>
      </c>
      <c r="AE225" s="5">
        <v>1100</v>
      </c>
      <c r="AF225" s="5">
        <f t="shared" si="56"/>
        <v>0</v>
      </c>
      <c r="AG225" s="5">
        <v>16</v>
      </c>
      <c r="AH225" s="5">
        <v>16</v>
      </c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>
        <f t="shared" si="59"/>
        <v>0</v>
      </c>
      <c r="AX225" s="5">
        <v>20</v>
      </c>
      <c r="AY225" s="5">
        <v>20</v>
      </c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7" t="s">
        <v>250</v>
      </c>
      <c r="BO225" s="5">
        <v>8.4</v>
      </c>
      <c r="BP225" s="5" t="s">
        <v>320</v>
      </c>
      <c r="BQ225" s="8">
        <v>45600</v>
      </c>
      <c r="BR225" s="5"/>
      <c r="BS225" s="9">
        <f t="shared" si="57"/>
        <v>5606.523955147808</v>
      </c>
      <c r="BT225" s="6">
        <f t="shared" si="60"/>
        <v>23.913043478260871</v>
      </c>
      <c r="BU225" s="9">
        <v>8000</v>
      </c>
      <c r="BV225" s="20">
        <f t="shared" ca="1" si="58"/>
        <v>8000</v>
      </c>
      <c r="BW225" s="20">
        <f t="shared" ca="1" si="58"/>
        <v>8000</v>
      </c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 t="s">
        <v>200</v>
      </c>
    </row>
    <row r="226" spans="1:91" x14ac:dyDescent="0.3">
      <c r="A226" s="5" t="s">
        <v>329</v>
      </c>
      <c r="B226" s="5" t="s">
        <v>109</v>
      </c>
      <c r="C226" s="5">
        <v>6000</v>
      </c>
      <c r="D226" s="5">
        <v>6600</v>
      </c>
      <c r="E226" s="5">
        <f>D226*[1]Rentabiliteit!$V$74</f>
        <v>6600</v>
      </c>
      <c r="F226" s="5">
        <v>6600</v>
      </c>
      <c r="G226" s="6">
        <v>98.2</v>
      </c>
      <c r="H226" s="6">
        <v>96.6</v>
      </c>
      <c r="I226" s="6"/>
      <c r="J226" s="5">
        <v>2</v>
      </c>
      <c r="K226" s="5" t="s">
        <v>113</v>
      </c>
      <c r="L226" s="5">
        <v>1</v>
      </c>
      <c r="M226" s="5">
        <v>1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>
        <v>180</v>
      </c>
      <c r="AC226" s="5">
        <v>160</v>
      </c>
      <c r="AD226" s="5">
        <v>1000</v>
      </c>
      <c r="AE226" s="5">
        <v>1100</v>
      </c>
      <c r="AF226" s="5">
        <f t="shared" si="56"/>
        <v>0</v>
      </c>
      <c r="AG226" s="5">
        <v>16</v>
      </c>
      <c r="AH226" s="5">
        <v>16</v>
      </c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>
        <f t="shared" si="59"/>
        <v>0</v>
      </c>
      <c r="AX226" s="5">
        <v>20</v>
      </c>
      <c r="AY226" s="5">
        <v>20</v>
      </c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7" t="s">
        <v>250</v>
      </c>
      <c r="BO226" s="5">
        <v>10</v>
      </c>
      <c r="BP226" s="5" t="s">
        <v>320</v>
      </c>
      <c r="BQ226" s="8">
        <v>45600</v>
      </c>
      <c r="BR226" s="5"/>
      <c r="BS226" s="9">
        <f t="shared" si="57"/>
        <v>6720.9775967413443</v>
      </c>
      <c r="BT226" s="6">
        <f t="shared" si="60"/>
        <v>28.695652173913043</v>
      </c>
      <c r="BU226" s="9">
        <v>9600</v>
      </c>
      <c r="BV226" s="20">
        <f t="shared" ca="1" si="58"/>
        <v>9600</v>
      </c>
      <c r="BW226" s="20">
        <f t="shared" ca="1" si="58"/>
        <v>9600</v>
      </c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 t="s">
        <v>200</v>
      </c>
    </row>
    <row r="227" spans="1:91" x14ac:dyDescent="0.3">
      <c r="A227" s="5" t="s">
        <v>330</v>
      </c>
      <c r="B227" s="5" t="s">
        <v>109</v>
      </c>
      <c r="C227" s="5">
        <v>8000</v>
      </c>
      <c r="D227" s="5">
        <v>8800</v>
      </c>
      <c r="E227" s="5">
        <f>D227*[1]Rentabiliteit!$V$74</f>
        <v>8800</v>
      </c>
      <c r="F227" s="5">
        <v>8800</v>
      </c>
      <c r="G227" s="6">
        <v>98.3</v>
      </c>
      <c r="H227" s="6">
        <v>97.1</v>
      </c>
      <c r="I227" s="6"/>
      <c r="J227" s="5">
        <v>2</v>
      </c>
      <c r="K227" s="5" t="s">
        <v>113</v>
      </c>
      <c r="L227" s="5">
        <v>1</v>
      </c>
      <c r="M227" s="5">
        <v>1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>
        <v>180</v>
      </c>
      <c r="AC227" s="5">
        <v>160</v>
      </c>
      <c r="AD227" s="5">
        <v>1000</v>
      </c>
      <c r="AE227" s="5">
        <v>1100</v>
      </c>
      <c r="AF227" s="5">
        <f t="shared" si="56"/>
        <v>0</v>
      </c>
      <c r="AG227" s="5">
        <v>16</v>
      </c>
      <c r="AH227" s="5">
        <v>16</v>
      </c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>
        <f t="shared" si="59"/>
        <v>0</v>
      </c>
      <c r="AX227" s="5">
        <v>20</v>
      </c>
      <c r="AY227" s="5">
        <v>20</v>
      </c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7" t="s">
        <v>250</v>
      </c>
      <c r="BO227" s="5">
        <v>13.4</v>
      </c>
      <c r="BP227" s="5" t="s">
        <v>320</v>
      </c>
      <c r="BQ227" s="8">
        <v>45600</v>
      </c>
      <c r="BR227" s="5"/>
      <c r="BS227" s="9">
        <f t="shared" si="57"/>
        <v>8952.1871820956258</v>
      </c>
      <c r="BT227" s="6">
        <f t="shared" si="60"/>
        <v>38.260869565217391</v>
      </c>
      <c r="BU227" s="9">
        <v>12800</v>
      </c>
      <c r="BV227" s="20">
        <f t="shared" ca="1" si="58"/>
        <v>12800</v>
      </c>
      <c r="BW227" s="20">
        <f t="shared" ca="1" si="58"/>
        <v>12800</v>
      </c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 t="s">
        <v>200</v>
      </c>
    </row>
    <row r="228" spans="1:91" x14ac:dyDescent="0.3">
      <c r="A228" s="5" t="s">
        <v>331</v>
      </c>
      <c r="B228" s="5" t="s">
        <v>109</v>
      </c>
      <c r="C228" s="5">
        <v>10000</v>
      </c>
      <c r="D228" s="5">
        <v>11000</v>
      </c>
      <c r="E228" s="5">
        <f>D228*[1]Rentabiliteit!$V$74</f>
        <v>11000</v>
      </c>
      <c r="F228" s="5">
        <v>11000</v>
      </c>
      <c r="G228" s="6">
        <v>98.3</v>
      </c>
      <c r="H228" s="6">
        <v>97.5</v>
      </c>
      <c r="I228" s="6"/>
      <c r="J228" s="5">
        <v>3</v>
      </c>
      <c r="K228" s="5" t="s">
        <v>113</v>
      </c>
      <c r="L228" s="5">
        <v>1</v>
      </c>
      <c r="M228" s="5">
        <v>1</v>
      </c>
      <c r="N228" s="5">
        <v>1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>
        <v>180</v>
      </c>
      <c r="AC228" s="5">
        <v>160</v>
      </c>
      <c r="AD228" s="5">
        <v>1000</v>
      </c>
      <c r="AE228" s="5">
        <v>1100</v>
      </c>
      <c r="AF228" s="5">
        <f t="shared" si="56"/>
        <v>0</v>
      </c>
      <c r="AG228" s="5">
        <v>16</v>
      </c>
      <c r="AH228" s="5">
        <v>16</v>
      </c>
      <c r="AI228" s="5">
        <v>16</v>
      </c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>
        <f t="shared" si="59"/>
        <v>0</v>
      </c>
      <c r="AX228" s="5">
        <v>20</v>
      </c>
      <c r="AY228" s="5">
        <v>20</v>
      </c>
      <c r="AZ228" s="5">
        <v>20</v>
      </c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7" t="s">
        <v>250</v>
      </c>
      <c r="BO228" s="5">
        <v>16.7</v>
      </c>
      <c r="BP228" s="5" t="s">
        <v>320</v>
      </c>
      <c r="BQ228" s="8">
        <v>45600</v>
      </c>
      <c r="BR228" s="5"/>
      <c r="BS228" s="9">
        <f t="shared" si="57"/>
        <v>11190.233977619533</v>
      </c>
      <c r="BT228" s="6">
        <f t="shared" si="60"/>
        <v>47.826086956521742</v>
      </c>
      <c r="BU228" s="9">
        <v>16000</v>
      </c>
      <c r="BV228" s="20">
        <f t="shared" ca="1" si="58"/>
        <v>16000</v>
      </c>
      <c r="BW228" s="20">
        <f t="shared" ca="1" si="58"/>
        <v>16000</v>
      </c>
      <c r="BX228" s="20">
        <f t="shared" ca="1" si="58"/>
        <v>16000</v>
      </c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 t="s">
        <v>200</v>
      </c>
    </row>
    <row r="229" spans="1:91" x14ac:dyDescent="0.3">
      <c r="A229" s="5" t="s">
        <v>332</v>
      </c>
      <c r="B229" s="5" t="s">
        <v>109</v>
      </c>
      <c r="C229" s="5">
        <v>12000</v>
      </c>
      <c r="D229" s="5">
        <v>13200</v>
      </c>
      <c r="E229" s="5">
        <f>D229*[1]Rentabiliteit!$V$74</f>
        <v>13200</v>
      </c>
      <c r="F229" s="5">
        <v>13200</v>
      </c>
      <c r="G229" s="6">
        <v>98.3</v>
      </c>
      <c r="H229" s="6">
        <v>97.7</v>
      </c>
      <c r="I229" s="6"/>
      <c r="J229" s="5">
        <v>3</v>
      </c>
      <c r="K229" s="5" t="s">
        <v>113</v>
      </c>
      <c r="L229" s="5">
        <v>1</v>
      </c>
      <c r="M229" s="5">
        <v>1</v>
      </c>
      <c r="N229" s="5">
        <v>1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>
        <v>180</v>
      </c>
      <c r="AC229" s="5">
        <v>160</v>
      </c>
      <c r="AD229" s="5">
        <v>1000</v>
      </c>
      <c r="AE229" s="5">
        <v>1100</v>
      </c>
      <c r="AF229" s="5">
        <f t="shared" si="56"/>
        <v>0</v>
      </c>
      <c r="AG229" s="5">
        <v>16</v>
      </c>
      <c r="AH229" s="5">
        <v>16</v>
      </c>
      <c r="AI229" s="5">
        <v>16</v>
      </c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>
        <f t="shared" si="59"/>
        <v>0</v>
      </c>
      <c r="AX229" s="5">
        <v>20</v>
      </c>
      <c r="AY229" s="5">
        <v>20</v>
      </c>
      <c r="AZ229" s="5">
        <v>20</v>
      </c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7" t="s">
        <v>250</v>
      </c>
      <c r="BO229" s="5">
        <v>20.100000000000001</v>
      </c>
      <c r="BP229" s="5" t="s">
        <v>320</v>
      </c>
      <c r="BQ229" s="8">
        <v>45600</v>
      </c>
      <c r="BR229" s="5"/>
      <c r="BS229" s="9">
        <f t="shared" si="57"/>
        <v>13428.280773143439</v>
      </c>
      <c r="BT229" s="6">
        <f t="shared" si="60"/>
        <v>57.391304347826086</v>
      </c>
      <c r="BU229" s="9">
        <v>19200</v>
      </c>
      <c r="BV229" s="20">
        <f t="shared" ca="1" si="58"/>
        <v>19200</v>
      </c>
      <c r="BW229" s="20">
        <f t="shared" ca="1" si="58"/>
        <v>19200</v>
      </c>
      <c r="BX229" s="20">
        <f t="shared" ca="1" si="58"/>
        <v>19200</v>
      </c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 t="s">
        <v>200</v>
      </c>
    </row>
    <row r="230" spans="1:91" x14ac:dyDescent="0.3">
      <c r="A230" s="5" t="s">
        <v>333</v>
      </c>
      <c r="B230" s="5" t="s">
        <v>109</v>
      </c>
      <c r="C230" s="5">
        <v>15000</v>
      </c>
      <c r="D230" s="5">
        <v>16500</v>
      </c>
      <c r="E230" s="5">
        <f>D230*[1]Rentabiliteit!$V$74</f>
        <v>16500</v>
      </c>
      <c r="F230" s="5">
        <v>16500</v>
      </c>
      <c r="G230" s="6">
        <v>98.3</v>
      </c>
      <c r="H230" s="6">
        <v>97.9</v>
      </c>
      <c r="I230" s="6"/>
      <c r="J230" s="5">
        <v>3</v>
      </c>
      <c r="K230" s="5" t="s">
        <v>113</v>
      </c>
      <c r="L230" s="5">
        <v>1</v>
      </c>
      <c r="M230" s="5">
        <v>1</v>
      </c>
      <c r="N230" s="5">
        <v>1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>
        <v>180</v>
      </c>
      <c r="AC230" s="5">
        <v>160</v>
      </c>
      <c r="AD230" s="5">
        <v>1000</v>
      </c>
      <c r="AE230" s="5">
        <v>1100</v>
      </c>
      <c r="AF230" s="5">
        <f t="shared" si="56"/>
        <v>0</v>
      </c>
      <c r="AG230" s="5">
        <v>16</v>
      </c>
      <c r="AH230" s="5">
        <v>16</v>
      </c>
      <c r="AI230" s="5">
        <v>16</v>
      </c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>
        <f t="shared" si="59"/>
        <v>0</v>
      </c>
      <c r="AX230" s="5">
        <v>20</v>
      </c>
      <c r="AY230" s="5">
        <v>20</v>
      </c>
      <c r="AZ230" s="5">
        <v>20</v>
      </c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7" t="s">
        <v>250</v>
      </c>
      <c r="BO230" s="5">
        <v>25.1</v>
      </c>
      <c r="BP230" s="5" t="s">
        <v>320</v>
      </c>
      <c r="BQ230" s="8">
        <v>45600</v>
      </c>
      <c r="BR230" s="5"/>
      <c r="BS230" s="9">
        <f t="shared" si="57"/>
        <v>16785.350966429298</v>
      </c>
      <c r="BT230" s="6">
        <f t="shared" si="60"/>
        <v>71.739130434782609</v>
      </c>
      <c r="BU230" s="9">
        <v>24000</v>
      </c>
      <c r="BV230" s="20">
        <f t="shared" ca="1" si="58"/>
        <v>24000</v>
      </c>
      <c r="BW230" s="20">
        <f t="shared" ca="1" si="58"/>
        <v>24000</v>
      </c>
      <c r="BX230" s="20">
        <f t="shared" ca="1" si="58"/>
        <v>24000</v>
      </c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 t="s">
        <v>200</v>
      </c>
    </row>
    <row r="231" spans="1:91" x14ac:dyDescent="0.3">
      <c r="A231" s="5" t="s">
        <v>334</v>
      </c>
      <c r="B231" s="5" t="s">
        <v>109</v>
      </c>
      <c r="C231" s="5">
        <v>17000</v>
      </c>
      <c r="D231" s="5">
        <v>18700</v>
      </c>
      <c r="E231" s="5">
        <f>D231*[1]Rentabiliteit!$V$74</f>
        <v>18700</v>
      </c>
      <c r="F231" s="5">
        <v>18700</v>
      </c>
      <c r="G231" s="6">
        <v>98.3</v>
      </c>
      <c r="H231" s="6">
        <v>97.9</v>
      </c>
      <c r="I231" s="6"/>
      <c r="J231" s="5">
        <v>4</v>
      </c>
      <c r="K231" s="5" t="s">
        <v>113</v>
      </c>
      <c r="L231" s="5">
        <v>1</v>
      </c>
      <c r="M231" s="5">
        <v>1</v>
      </c>
      <c r="N231" s="5">
        <v>1</v>
      </c>
      <c r="O231" s="5">
        <v>1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>
        <v>180</v>
      </c>
      <c r="AC231" s="5">
        <v>160</v>
      </c>
      <c r="AD231" s="5">
        <v>1000</v>
      </c>
      <c r="AE231" s="5">
        <v>1100</v>
      </c>
      <c r="AF231" s="5">
        <f t="shared" si="56"/>
        <v>0</v>
      </c>
      <c r="AG231" s="5">
        <v>16</v>
      </c>
      <c r="AH231" s="5">
        <v>16</v>
      </c>
      <c r="AI231" s="5">
        <v>16</v>
      </c>
      <c r="AJ231" s="5">
        <v>16</v>
      </c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>
        <f t="shared" si="59"/>
        <v>0</v>
      </c>
      <c r="AX231" s="5">
        <v>20</v>
      </c>
      <c r="AY231" s="5">
        <v>20</v>
      </c>
      <c r="AZ231" s="5">
        <v>20</v>
      </c>
      <c r="BA231" s="5">
        <v>20</v>
      </c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7" t="s">
        <v>250</v>
      </c>
      <c r="BO231" s="5">
        <v>28.4</v>
      </c>
      <c r="BP231" s="5" t="s">
        <v>320</v>
      </c>
      <c r="BQ231" s="8">
        <v>45600</v>
      </c>
      <c r="BR231" s="5"/>
      <c r="BS231" s="9">
        <f t="shared" si="57"/>
        <v>19023.397761953205</v>
      </c>
      <c r="BT231" s="6">
        <f t="shared" si="60"/>
        <v>81.304347826086953</v>
      </c>
      <c r="BU231" s="9">
        <v>27200</v>
      </c>
      <c r="BV231" s="20">
        <f t="shared" ca="1" si="58"/>
        <v>27200</v>
      </c>
      <c r="BW231" s="20">
        <f t="shared" ca="1" si="58"/>
        <v>27200</v>
      </c>
      <c r="BX231" s="20">
        <f t="shared" ca="1" si="58"/>
        <v>27200</v>
      </c>
      <c r="BY231" s="20">
        <f t="shared" ca="1" si="58"/>
        <v>27200</v>
      </c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 t="s">
        <v>200</v>
      </c>
    </row>
    <row r="232" spans="1:91" x14ac:dyDescent="0.3">
      <c r="A232" s="5" t="s">
        <v>335</v>
      </c>
      <c r="B232" s="5" t="s">
        <v>109</v>
      </c>
      <c r="C232" s="5">
        <v>20000</v>
      </c>
      <c r="D232" s="5">
        <v>22000</v>
      </c>
      <c r="E232" s="5">
        <f>D232*[1]Rentabiliteit!$V$74</f>
        <v>22000</v>
      </c>
      <c r="F232" s="5">
        <v>22000</v>
      </c>
      <c r="G232" s="6">
        <v>98.3</v>
      </c>
      <c r="H232" s="6">
        <v>97.9</v>
      </c>
      <c r="I232" s="6"/>
      <c r="J232" s="5">
        <v>4</v>
      </c>
      <c r="K232" s="5" t="s">
        <v>113</v>
      </c>
      <c r="L232" s="5">
        <v>1</v>
      </c>
      <c r="M232" s="5">
        <v>1</v>
      </c>
      <c r="N232" s="5">
        <v>1</v>
      </c>
      <c r="O232" s="5">
        <v>1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>
        <v>180</v>
      </c>
      <c r="AC232" s="5">
        <v>160</v>
      </c>
      <c r="AD232" s="5">
        <v>1000</v>
      </c>
      <c r="AE232" s="5">
        <v>1100</v>
      </c>
      <c r="AF232" s="5">
        <f t="shared" si="56"/>
        <v>0</v>
      </c>
      <c r="AG232" s="5">
        <v>16</v>
      </c>
      <c r="AH232" s="5">
        <v>16</v>
      </c>
      <c r="AI232" s="5">
        <v>16</v>
      </c>
      <c r="AJ232" s="5">
        <v>16</v>
      </c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>
        <f t="shared" si="59"/>
        <v>0</v>
      </c>
      <c r="AX232" s="5">
        <v>20</v>
      </c>
      <c r="AY232" s="5">
        <v>20</v>
      </c>
      <c r="AZ232" s="5">
        <v>20</v>
      </c>
      <c r="BA232" s="5">
        <v>20</v>
      </c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7" t="s">
        <v>250</v>
      </c>
      <c r="BO232" s="5">
        <v>33.4</v>
      </c>
      <c r="BP232" s="5" t="s">
        <v>320</v>
      </c>
      <c r="BQ232" s="8">
        <v>45600</v>
      </c>
      <c r="BR232" s="5"/>
      <c r="BS232" s="9">
        <f t="shared" si="57"/>
        <v>22380.467955239066</v>
      </c>
      <c r="BT232" s="6">
        <f t="shared" si="60"/>
        <v>95.652173913043484</v>
      </c>
      <c r="BU232" s="9">
        <v>32000</v>
      </c>
      <c r="BV232" s="20">
        <f t="shared" ca="1" si="58"/>
        <v>32000</v>
      </c>
      <c r="BW232" s="20">
        <f t="shared" ca="1" si="58"/>
        <v>32000</v>
      </c>
      <c r="BX232" s="20">
        <f t="shared" ca="1" si="58"/>
        <v>32000</v>
      </c>
      <c r="BY232" s="20">
        <f t="shared" ca="1" si="58"/>
        <v>32000</v>
      </c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 t="s">
        <v>200</v>
      </c>
    </row>
    <row r="233" spans="1:91" x14ac:dyDescent="0.3">
      <c r="A233" s="5" t="s">
        <v>336</v>
      </c>
      <c r="B233" s="5" t="s">
        <v>109</v>
      </c>
      <c r="C233" s="5">
        <v>25000</v>
      </c>
      <c r="D233" s="5">
        <v>27500</v>
      </c>
      <c r="E233" s="5">
        <f>D233*[1]Rentabiliteit!$V$74</f>
        <v>27500</v>
      </c>
      <c r="F233" s="5">
        <v>27500</v>
      </c>
      <c r="G233" s="6">
        <v>98.3</v>
      </c>
      <c r="H233" s="6">
        <v>98</v>
      </c>
      <c r="I233" s="6"/>
      <c r="J233" s="5">
        <v>4</v>
      </c>
      <c r="K233" s="5" t="s">
        <v>113</v>
      </c>
      <c r="L233" s="5">
        <v>1</v>
      </c>
      <c r="M233" s="5">
        <v>1</v>
      </c>
      <c r="N233" s="5">
        <v>1</v>
      </c>
      <c r="O233" s="5">
        <v>1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>
        <v>180</v>
      </c>
      <c r="AC233" s="5">
        <v>160</v>
      </c>
      <c r="AD233" s="5">
        <v>1000</v>
      </c>
      <c r="AE233" s="5">
        <v>1100</v>
      </c>
      <c r="AF233" s="5">
        <f t="shared" si="56"/>
        <v>0</v>
      </c>
      <c r="AG233" s="5">
        <v>16</v>
      </c>
      <c r="AH233" s="5">
        <v>16</v>
      </c>
      <c r="AI233" s="5">
        <v>16</v>
      </c>
      <c r="AJ233" s="5">
        <v>16</v>
      </c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>
        <f t="shared" si="59"/>
        <v>0</v>
      </c>
      <c r="AX233" s="5">
        <v>20</v>
      </c>
      <c r="AY233" s="5">
        <v>20</v>
      </c>
      <c r="AZ233" s="5">
        <v>20</v>
      </c>
      <c r="BA233" s="5">
        <v>20</v>
      </c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7" t="s">
        <v>250</v>
      </c>
      <c r="BO233" s="5">
        <v>41.8</v>
      </c>
      <c r="BP233" s="5" t="s">
        <v>320</v>
      </c>
      <c r="BQ233" s="8">
        <v>45600</v>
      </c>
      <c r="BR233" s="5"/>
      <c r="BS233" s="9">
        <f t="shared" si="57"/>
        <v>27975.584944048831</v>
      </c>
      <c r="BT233" s="6">
        <f t="shared" si="60"/>
        <v>119.56521739130434</v>
      </c>
      <c r="BU233" s="9">
        <v>40000</v>
      </c>
      <c r="BV233" s="20">
        <f t="shared" ca="1" si="58"/>
        <v>40000</v>
      </c>
      <c r="BW233" s="20">
        <f t="shared" ca="1" si="58"/>
        <v>40000</v>
      </c>
      <c r="BX233" s="20">
        <f t="shared" ca="1" si="58"/>
        <v>40000</v>
      </c>
      <c r="BY233" s="20">
        <f t="shared" ca="1" si="58"/>
        <v>40000</v>
      </c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 t="s">
        <v>200</v>
      </c>
    </row>
    <row r="234" spans="1:91" x14ac:dyDescent="0.3">
      <c r="A234" s="5" t="s">
        <v>122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8"/>
      <c r="BR234" s="5"/>
      <c r="BS234" s="9">
        <v>9999999</v>
      </c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9"/>
      <c r="CM234" s="9"/>
    </row>
    <row r="235" spans="1:91" ht="15.6" x14ac:dyDescent="0.3">
      <c r="A235" s="11"/>
      <c r="B235" s="42"/>
      <c r="C235" s="11"/>
      <c r="D235" s="11"/>
      <c r="E235" s="11"/>
      <c r="F235" s="11"/>
      <c r="G235" s="3"/>
      <c r="H235" s="3"/>
      <c r="I235" s="3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3"/>
      <c r="BP235" s="11"/>
      <c r="BQ235" s="43"/>
      <c r="BR235" s="11"/>
      <c r="BS235" s="12"/>
      <c r="BT235" s="3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2"/>
      <c r="CM235" s="12"/>
    </row>
    <row r="236" spans="1:91" ht="15.6" x14ac:dyDescent="0.3">
      <c r="A236" s="1" t="s">
        <v>337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11"/>
      <c r="BS236" s="12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</row>
    <row r="237" spans="1:91" x14ac:dyDescent="0.3">
      <c r="A237" s="5" t="s">
        <v>1</v>
      </c>
      <c r="B237" s="5" t="s">
        <v>2</v>
      </c>
      <c r="C237" s="5" t="s">
        <v>3</v>
      </c>
      <c r="D237" s="5" t="s">
        <v>4</v>
      </c>
      <c r="E237" s="5" t="s">
        <v>5</v>
      </c>
      <c r="F237" s="5" t="s">
        <v>6</v>
      </c>
      <c r="G237" s="5" t="s">
        <v>7</v>
      </c>
      <c r="H237" s="5" t="s">
        <v>8</v>
      </c>
      <c r="I237" s="5" t="s">
        <v>9</v>
      </c>
      <c r="J237" s="5" t="s">
        <v>10</v>
      </c>
      <c r="K237" s="5" t="s">
        <v>11</v>
      </c>
      <c r="L237" s="5" t="s">
        <v>12</v>
      </c>
      <c r="M237" s="5" t="s">
        <v>13</v>
      </c>
      <c r="N237" s="5" t="s">
        <v>14</v>
      </c>
      <c r="O237" s="5" t="s">
        <v>15</v>
      </c>
      <c r="P237" s="5" t="s">
        <v>16</v>
      </c>
      <c r="Q237" s="5" t="s">
        <v>17</v>
      </c>
      <c r="R237" s="5" t="s">
        <v>18</v>
      </c>
      <c r="S237" s="5" t="s">
        <v>19</v>
      </c>
      <c r="T237" s="5" t="s">
        <v>20</v>
      </c>
      <c r="U237" s="5" t="s">
        <v>21</v>
      </c>
      <c r="V237" s="5" t="s">
        <v>22</v>
      </c>
      <c r="W237" s="5" t="s">
        <v>23</v>
      </c>
      <c r="X237" s="5" t="s">
        <v>24</v>
      </c>
      <c r="Y237" s="5" t="s">
        <v>25</v>
      </c>
      <c r="Z237" s="5" t="s">
        <v>26</v>
      </c>
      <c r="AA237" s="5" t="s">
        <v>27</v>
      </c>
      <c r="AB237" s="5" t="s">
        <v>28</v>
      </c>
      <c r="AC237" s="5" t="s">
        <v>29</v>
      </c>
      <c r="AD237" s="5" t="s">
        <v>30</v>
      </c>
      <c r="AE237" s="5" t="s">
        <v>31</v>
      </c>
      <c r="AF237" s="5" t="s">
        <v>32</v>
      </c>
      <c r="AG237" s="5" t="s">
        <v>33</v>
      </c>
      <c r="AH237" s="5" t="s">
        <v>34</v>
      </c>
      <c r="AI237" s="5" t="s">
        <v>35</v>
      </c>
      <c r="AJ237" s="5" t="s">
        <v>36</v>
      </c>
      <c r="AK237" s="5" t="s">
        <v>37</v>
      </c>
      <c r="AL237" s="5" t="s">
        <v>38</v>
      </c>
      <c r="AM237" s="5" t="s">
        <v>39</v>
      </c>
      <c r="AN237" s="5" t="s">
        <v>40</v>
      </c>
      <c r="AO237" s="5" t="s">
        <v>41</v>
      </c>
      <c r="AP237" s="5" t="s">
        <v>42</v>
      </c>
      <c r="AQ237" s="5" t="s">
        <v>43</v>
      </c>
      <c r="AR237" s="5" t="s">
        <v>44</v>
      </c>
      <c r="AS237" s="5" t="s">
        <v>45</v>
      </c>
      <c r="AT237" s="5" t="s">
        <v>46</v>
      </c>
      <c r="AU237" s="5" t="s">
        <v>47</v>
      </c>
      <c r="AV237" s="5" t="s">
        <v>48</v>
      </c>
      <c r="AW237" s="5" t="s">
        <v>49</v>
      </c>
      <c r="AX237" s="5" t="s">
        <v>50</v>
      </c>
      <c r="AY237" s="5" t="s">
        <v>51</v>
      </c>
      <c r="AZ237" s="5" t="s">
        <v>52</v>
      </c>
      <c r="BA237" s="5" t="s">
        <v>53</v>
      </c>
      <c r="BB237" s="5" t="s">
        <v>54</v>
      </c>
      <c r="BC237" s="5" t="s">
        <v>55</v>
      </c>
      <c r="BD237" s="5" t="s">
        <v>56</v>
      </c>
      <c r="BE237" s="5" t="s">
        <v>57</v>
      </c>
      <c r="BF237" s="5" t="s">
        <v>58</v>
      </c>
      <c r="BG237" s="5" t="s">
        <v>59</v>
      </c>
      <c r="BH237" s="5" t="s">
        <v>60</v>
      </c>
      <c r="BI237" s="5" t="s">
        <v>61</v>
      </c>
      <c r="BJ237" s="5" t="s">
        <v>62</v>
      </c>
      <c r="BK237" s="5" t="s">
        <v>63</v>
      </c>
      <c r="BL237" s="5" t="s">
        <v>64</v>
      </c>
      <c r="BM237" s="5" t="s">
        <v>65</v>
      </c>
      <c r="BN237" s="5" t="s">
        <v>66</v>
      </c>
      <c r="BO237" s="5" t="s">
        <v>67</v>
      </c>
      <c r="BP237" s="5" t="s">
        <v>68</v>
      </c>
      <c r="BQ237" s="5" t="s">
        <v>69</v>
      </c>
      <c r="BR237" s="5" t="s">
        <v>70</v>
      </c>
      <c r="BS237" s="5" t="s">
        <v>71</v>
      </c>
      <c r="BT237" s="5" t="s">
        <v>72</v>
      </c>
      <c r="BU237" s="5" t="s">
        <v>73</v>
      </c>
      <c r="BV237" s="5" t="s">
        <v>74</v>
      </c>
      <c r="BW237" s="5" t="s">
        <v>75</v>
      </c>
      <c r="BX237" s="5" t="s">
        <v>76</v>
      </c>
      <c r="BY237" s="5" t="s">
        <v>77</v>
      </c>
      <c r="BZ237" s="5" t="s">
        <v>78</v>
      </c>
      <c r="CA237" s="5" t="s">
        <v>79</v>
      </c>
      <c r="CB237" s="5" t="s">
        <v>80</v>
      </c>
      <c r="CC237" s="5" t="s">
        <v>81</v>
      </c>
      <c r="CD237" s="5" t="s">
        <v>82</v>
      </c>
      <c r="CE237" s="5" t="s">
        <v>83</v>
      </c>
      <c r="CF237" s="5" t="s">
        <v>84</v>
      </c>
      <c r="CG237" s="5" t="s">
        <v>85</v>
      </c>
      <c r="CH237" s="5" t="s">
        <v>86</v>
      </c>
      <c r="CI237" s="5" t="s">
        <v>87</v>
      </c>
      <c r="CJ237" s="5" t="s">
        <v>88</v>
      </c>
      <c r="CK237" s="5" t="s">
        <v>89</v>
      </c>
      <c r="CL237" s="5" t="s">
        <v>90</v>
      </c>
      <c r="CM237" s="5" t="s">
        <v>91</v>
      </c>
    </row>
    <row r="238" spans="1:91" x14ac:dyDescent="0.3">
      <c r="A238" s="5" t="s">
        <v>92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8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</row>
    <row r="239" spans="1:91" ht="15.6" x14ac:dyDescent="0.3">
      <c r="A239" s="45" t="s">
        <v>338</v>
      </c>
      <c r="B239" s="46" t="s">
        <v>339</v>
      </c>
      <c r="C239" s="46">
        <v>2000</v>
      </c>
      <c r="D239" s="46">
        <v>2200</v>
      </c>
      <c r="E239" s="46">
        <v>2200</v>
      </c>
      <c r="F239" s="46">
        <v>2200</v>
      </c>
      <c r="G239" s="46">
        <v>98</v>
      </c>
      <c r="H239" s="46">
        <v>97</v>
      </c>
      <c r="I239" s="46"/>
      <c r="J239" s="46">
        <v>2</v>
      </c>
      <c r="K239" s="46" t="s">
        <v>113</v>
      </c>
      <c r="L239" s="46">
        <v>1</v>
      </c>
      <c r="M239" s="46">
        <v>1</v>
      </c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>
        <v>100</v>
      </c>
      <c r="AC239" s="46">
        <v>50</v>
      </c>
      <c r="AD239" s="46">
        <v>550</v>
      </c>
      <c r="AE239" s="46">
        <v>600</v>
      </c>
      <c r="AF239" s="46">
        <v>0</v>
      </c>
      <c r="AG239" s="46">
        <v>16</v>
      </c>
      <c r="AH239" s="46">
        <v>16</v>
      </c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>
        <v>0</v>
      </c>
      <c r="AX239" s="46">
        <v>20</v>
      </c>
      <c r="AY239" s="46">
        <v>20</v>
      </c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  <c r="BN239" s="47" t="s">
        <v>250</v>
      </c>
      <c r="BO239" s="46">
        <v>10</v>
      </c>
      <c r="BP239" s="46" t="s">
        <v>320</v>
      </c>
      <c r="BQ239" s="48">
        <v>46153</v>
      </c>
      <c r="BR239" s="46"/>
      <c r="BS239" s="46">
        <v>2267</v>
      </c>
      <c r="BT239" s="46">
        <v>9.1</v>
      </c>
      <c r="BU239" s="46">
        <v>4000</v>
      </c>
      <c r="BV239" s="49">
        <v>4000</v>
      </c>
      <c r="BW239" s="49">
        <v>4000</v>
      </c>
      <c r="BX239" s="46"/>
      <c r="BY239" s="46"/>
      <c r="BZ239" s="46"/>
      <c r="CA239" s="46"/>
      <c r="CB239" s="46"/>
      <c r="CC239" s="46"/>
      <c r="CD239" s="46"/>
      <c r="CE239" s="46"/>
      <c r="CF239" s="46"/>
      <c r="CG239" s="46"/>
      <c r="CH239" s="46"/>
      <c r="CI239" s="46"/>
      <c r="CJ239" s="46"/>
      <c r="CK239" s="46"/>
      <c r="CL239" s="46"/>
      <c r="CM239" s="50" t="s">
        <v>200</v>
      </c>
    </row>
    <row r="240" spans="1:91" x14ac:dyDescent="0.3">
      <c r="A240" s="5" t="s">
        <v>340</v>
      </c>
      <c r="B240" s="5" t="s">
        <v>94</v>
      </c>
      <c r="C240" s="5">
        <v>3000</v>
      </c>
      <c r="D240" s="5">
        <v>3300</v>
      </c>
      <c r="E240" s="5">
        <f>D240*[1]Rentabiliteit!$V$74</f>
        <v>3300</v>
      </c>
      <c r="F240" s="5">
        <v>3300</v>
      </c>
      <c r="G240" s="5">
        <v>98</v>
      </c>
      <c r="H240" s="5">
        <v>97</v>
      </c>
      <c r="I240" s="5"/>
      <c r="J240" s="5">
        <v>2</v>
      </c>
      <c r="K240" s="5" t="s">
        <v>113</v>
      </c>
      <c r="L240" s="5">
        <v>1</v>
      </c>
      <c r="M240" s="5">
        <v>1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>
        <v>100</v>
      </c>
      <c r="AC240" s="5">
        <v>50</v>
      </c>
      <c r="AD240" s="5">
        <v>550</v>
      </c>
      <c r="AE240" s="5">
        <v>600</v>
      </c>
      <c r="AF240" s="5">
        <f t="shared" ref="AF240:AF245" si="61">IF(OR($K240=1,$L240="Yes"),SUM(AG240:AV240),0)</f>
        <v>0</v>
      </c>
      <c r="AG240" s="5">
        <v>16</v>
      </c>
      <c r="AH240" s="5">
        <v>16</v>
      </c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>
        <f t="shared" ref="AW240:AW255" si="62">IF(OR($K240=1,$L240="Yes"),SUM(AX240:BM240),0)</f>
        <v>0</v>
      </c>
      <c r="AX240" s="5">
        <v>20</v>
      </c>
      <c r="AY240" s="5">
        <v>20</v>
      </c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7" t="s">
        <v>250</v>
      </c>
      <c r="BO240" s="5">
        <v>15</v>
      </c>
      <c r="BP240" s="5" t="s">
        <v>320</v>
      </c>
      <c r="BQ240" s="8">
        <v>45600</v>
      </c>
      <c r="BR240" s="5"/>
      <c r="BS240" s="9">
        <f t="shared" ref="BS240:BS260" si="63">E240/(IF(I240=0,G240,I240)/100)</f>
        <v>3367.3469387755104</v>
      </c>
      <c r="BT240" s="6">
        <f t="shared" ref="BT240:BT260" si="64">F240/230</f>
        <v>14.347826086956522</v>
      </c>
      <c r="BU240" s="9">
        <v>6000</v>
      </c>
      <c r="BV240" s="20">
        <f t="shared" ref="BV240:BY255" ca="1" si="65">$BV240</f>
        <v>6000</v>
      </c>
      <c r="BW240" s="20">
        <f t="shared" ca="1" si="65"/>
        <v>6000</v>
      </c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9" t="s">
        <v>200</v>
      </c>
    </row>
    <row r="241" spans="1:91" x14ac:dyDescent="0.3">
      <c r="A241" s="5" t="s">
        <v>341</v>
      </c>
      <c r="B241" s="5" t="s">
        <v>94</v>
      </c>
      <c r="C241" s="5">
        <v>3680</v>
      </c>
      <c r="D241" s="5">
        <v>3680</v>
      </c>
      <c r="E241" s="5">
        <f>D241*[1]Rentabiliteit!$V$74</f>
        <v>3680</v>
      </c>
      <c r="F241" s="5">
        <v>3680</v>
      </c>
      <c r="G241" s="5">
        <v>98</v>
      </c>
      <c r="H241" s="5">
        <v>97.1</v>
      </c>
      <c r="I241" s="5"/>
      <c r="J241" s="5">
        <v>2</v>
      </c>
      <c r="K241" s="5" t="s">
        <v>113</v>
      </c>
      <c r="L241" s="5">
        <v>1</v>
      </c>
      <c r="M241" s="5">
        <v>1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>
        <v>100</v>
      </c>
      <c r="AC241" s="5">
        <v>50</v>
      </c>
      <c r="AD241" s="5">
        <v>550</v>
      </c>
      <c r="AE241" s="5">
        <v>600</v>
      </c>
      <c r="AF241" s="5">
        <f t="shared" si="61"/>
        <v>0</v>
      </c>
      <c r="AG241" s="5">
        <v>16</v>
      </c>
      <c r="AH241" s="5">
        <v>16</v>
      </c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>
        <f t="shared" si="62"/>
        <v>0</v>
      </c>
      <c r="AX241" s="5">
        <v>20</v>
      </c>
      <c r="AY241" s="5">
        <v>20</v>
      </c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7" t="s">
        <v>250</v>
      </c>
      <c r="BO241" s="5">
        <v>16</v>
      </c>
      <c r="BP241" s="5" t="s">
        <v>320</v>
      </c>
      <c r="BQ241" s="8">
        <v>45600</v>
      </c>
      <c r="BR241" s="5"/>
      <c r="BS241" s="9">
        <f t="shared" si="63"/>
        <v>3755.1020408163267</v>
      </c>
      <c r="BT241" s="6">
        <f t="shared" si="64"/>
        <v>16</v>
      </c>
      <c r="BU241" s="9">
        <v>7360</v>
      </c>
      <c r="BV241" s="20">
        <f t="shared" ca="1" si="65"/>
        <v>7360</v>
      </c>
      <c r="BW241" s="20">
        <f t="shared" ca="1" si="65"/>
        <v>7360</v>
      </c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9" t="s">
        <v>200</v>
      </c>
    </row>
    <row r="242" spans="1:91" x14ac:dyDescent="0.3">
      <c r="A242" s="5" t="s">
        <v>342</v>
      </c>
      <c r="B242" s="5" t="s">
        <v>94</v>
      </c>
      <c r="C242" s="5">
        <v>4000</v>
      </c>
      <c r="D242" s="5">
        <v>4400</v>
      </c>
      <c r="E242" s="5">
        <f>D242*[1]Rentabiliteit!$V$74</f>
        <v>4400</v>
      </c>
      <c r="F242" s="5">
        <v>4400</v>
      </c>
      <c r="G242" s="5">
        <v>98</v>
      </c>
      <c r="H242" s="5">
        <v>97.2</v>
      </c>
      <c r="I242" s="5"/>
      <c r="J242" s="5">
        <v>2</v>
      </c>
      <c r="K242" s="5" t="s">
        <v>113</v>
      </c>
      <c r="L242" s="5">
        <v>1</v>
      </c>
      <c r="M242" s="5">
        <v>1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>
        <v>100</v>
      </c>
      <c r="AC242" s="5">
        <v>50</v>
      </c>
      <c r="AD242" s="5">
        <v>550</v>
      </c>
      <c r="AE242" s="5">
        <v>600</v>
      </c>
      <c r="AF242" s="5">
        <f t="shared" si="61"/>
        <v>0</v>
      </c>
      <c r="AG242" s="5">
        <v>16</v>
      </c>
      <c r="AH242" s="5">
        <v>16</v>
      </c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>
        <f t="shared" si="62"/>
        <v>0</v>
      </c>
      <c r="AX242" s="5">
        <v>20</v>
      </c>
      <c r="AY242" s="5">
        <v>20</v>
      </c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7" t="s">
        <v>250</v>
      </c>
      <c r="BO242" s="5">
        <v>20</v>
      </c>
      <c r="BP242" s="5" t="s">
        <v>320</v>
      </c>
      <c r="BQ242" s="8">
        <v>45600</v>
      </c>
      <c r="BR242" s="5"/>
      <c r="BS242" s="9">
        <f t="shared" si="63"/>
        <v>4489.7959183673474</v>
      </c>
      <c r="BT242" s="6">
        <f t="shared" si="64"/>
        <v>19.130434782608695</v>
      </c>
      <c r="BU242" s="9">
        <v>8000</v>
      </c>
      <c r="BV242" s="20">
        <f t="shared" ca="1" si="65"/>
        <v>8000</v>
      </c>
      <c r="BW242" s="20">
        <f t="shared" ca="1" si="65"/>
        <v>8000</v>
      </c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9" t="s">
        <v>200</v>
      </c>
    </row>
    <row r="243" spans="1:91" x14ac:dyDescent="0.3">
      <c r="A243" s="5" t="s">
        <v>343</v>
      </c>
      <c r="B243" s="5" t="s">
        <v>94</v>
      </c>
      <c r="C243" s="5">
        <v>4600</v>
      </c>
      <c r="D243" s="5">
        <v>5000</v>
      </c>
      <c r="E243" s="5">
        <f>D243*[1]Rentabiliteit!$V$74</f>
        <v>5000</v>
      </c>
      <c r="F243" s="5">
        <v>5000</v>
      </c>
      <c r="G243" s="5">
        <v>98</v>
      </c>
      <c r="H243" s="5">
        <v>97.3</v>
      </c>
      <c r="I243" s="5"/>
      <c r="J243" s="5">
        <v>2</v>
      </c>
      <c r="K243" s="5" t="s">
        <v>113</v>
      </c>
      <c r="L243" s="5">
        <v>1</v>
      </c>
      <c r="M243" s="5">
        <v>1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>
        <v>100</v>
      </c>
      <c r="AC243" s="5">
        <v>50</v>
      </c>
      <c r="AD243" s="5">
        <v>550</v>
      </c>
      <c r="AE243" s="5">
        <v>600</v>
      </c>
      <c r="AF243" s="5">
        <f t="shared" si="61"/>
        <v>0</v>
      </c>
      <c r="AG243" s="5">
        <v>16</v>
      </c>
      <c r="AH243" s="5">
        <v>16</v>
      </c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>
        <f t="shared" si="62"/>
        <v>0</v>
      </c>
      <c r="AX243" s="5">
        <v>20</v>
      </c>
      <c r="AY243" s="5">
        <v>20</v>
      </c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7" t="s">
        <v>250</v>
      </c>
      <c r="BO243" s="5">
        <v>22.7</v>
      </c>
      <c r="BP243" s="5" t="s">
        <v>320</v>
      </c>
      <c r="BQ243" s="8">
        <v>45600</v>
      </c>
      <c r="BR243" s="5"/>
      <c r="BS243" s="9">
        <f t="shared" si="63"/>
        <v>5102.0408163265311</v>
      </c>
      <c r="BT243" s="6">
        <f t="shared" si="64"/>
        <v>21.739130434782609</v>
      </c>
      <c r="BU243" s="9">
        <v>9200</v>
      </c>
      <c r="BV243" s="20">
        <f t="shared" ca="1" si="65"/>
        <v>9200</v>
      </c>
      <c r="BW243" s="20">
        <f t="shared" ca="1" si="65"/>
        <v>9200</v>
      </c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9" t="s">
        <v>200</v>
      </c>
    </row>
    <row r="244" spans="1:91" x14ac:dyDescent="0.3">
      <c r="A244" s="5" t="s">
        <v>344</v>
      </c>
      <c r="B244" s="5" t="s">
        <v>94</v>
      </c>
      <c r="C244" s="5">
        <v>5000</v>
      </c>
      <c r="D244" s="5">
        <v>5500</v>
      </c>
      <c r="E244" s="5">
        <f>D244*[1]Rentabiliteit!$V$74</f>
        <v>5500</v>
      </c>
      <c r="F244" s="5">
        <v>5500</v>
      </c>
      <c r="G244" s="5">
        <v>98</v>
      </c>
      <c r="H244" s="5">
        <v>97.4</v>
      </c>
      <c r="I244" s="5"/>
      <c r="J244" s="5">
        <v>2</v>
      </c>
      <c r="K244" s="5" t="s">
        <v>113</v>
      </c>
      <c r="L244" s="5">
        <v>1</v>
      </c>
      <c r="M244" s="5">
        <v>1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>
        <v>100</v>
      </c>
      <c r="AC244" s="5">
        <v>50</v>
      </c>
      <c r="AD244" s="5">
        <v>550</v>
      </c>
      <c r="AE244" s="5">
        <v>600</v>
      </c>
      <c r="AF244" s="5">
        <f t="shared" si="61"/>
        <v>0</v>
      </c>
      <c r="AG244" s="5">
        <v>16</v>
      </c>
      <c r="AH244" s="5">
        <v>16</v>
      </c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>
        <f t="shared" si="62"/>
        <v>0</v>
      </c>
      <c r="AX244" s="5">
        <v>20</v>
      </c>
      <c r="AY244" s="5">
        <v>20</v>
      </c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7" t="s">
        <v>250</v>
      </c>
      <c r="BO244" s="5">
        <v>25</v>
      </c>
      <c r="BP244" s="5" t="s">
        <v>320</v>
      </c>
      <c r="BQ244" s="8">
        <v>45600</v>
      </c>
      <c r="BR244" s="5"/>
      <c r="BS244" s="9">
        <f t="shared" si="63"/>
        <v>5612.2448979591836</v>
      </c>
      <c r="BT244" s="6">
        <f t="shared" si="64"/>
        <v>23.913043478260871</v>
      </c>
      <c r="BU244" s="9">
        <v>10000</v>
      </c>
      <c r="BV244" s="20">
        <f t="shared" ca="1" si="65"/>
        <v>10000</v>
      </c>
      <c r="BW244" s="20">
        <f t="shared" ca="1" si="65"/>
        <v>10000</v>
      </c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9" t="s">
        <v>326</v>
      </c>
    </row>
    <row r="245" spans="1:91" x14ac:dyDescent="0.3">
      <c r="A245" s="5" t="s">
        <v>345</v>
      </c>
      <c r="B245" s="5" t="s">
        <v>94</v>
      </c>
      <c r="C245" s="5">
        <v>6000</v>
      </c>
      <c r="D245" s="5">
        <v>6600</v>
      </c>
      <c r="E245" s="5">
        <f>D245*[1]Rentabiliteit!$V$74</f>
        <v>6600</v>
      </c>
      <c r="F245" s="5">
        <v>6600</v>
      </c>
      <c r="G245" s="5">
        <v>98</v>
      </c>
      <c r="H245" s="5">
        <v>97.4</v>
      </c>
      <c r="I245" s="5"/>
      <c r="J245" s="5">
        <v>2</v>
      </c>
      <c r="K245" s="5" t="s">
        <v>113</v>
      </c>
      <c r="L245" s="5">
        <v>1</v>
      </c>
      <c r="M245" s="5">
        <v>1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>
        <v>100</v>
      </c>
      <c r="AC245" s="5">
        <v>50</v>
      </c>
      <c r="AD245" s="5">
        <v>550</v>
      </c>
      <c r="AE245" s="5">
        <v>600</v>
      </c>
      <c r="AF245" s="5">
        <f t="shared" si="61"/>
        <v>0</v>
      </c>
      <c r="AG245" s="5">
        <v>16</v>
      </c>
      <c r="AH245" s="5">
        <v>16</v>
      </c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>
        <f t="shared" si="62"/>
        <v>0</v>
      </c>
      <c r="AX245" s="5">
        <v>20</v>
      </c>
      <c r="AY245" s="5">
        <v>20</v>
      </c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7" t="s">
        <v>250</v>
      </c>
      <c r="BO245" s="5">
        <v>30</v>
      </c>
      <c r="BP245" s="5" t="s">
        <v>320</v>
      </c>
      <c r="BQ245" s="8">
        <v>45600</v>
      </c>
      <c r="BR245" s="5"/>
      <c r="BS245" s="9">
        <f t="shared" si="63"/>
        <v>6734.6938775510207</v>
      </c>
      <c r="BT245" s="6">
        <f t="shared" si="64"/>
        <v>28.695652173913043</v>
      </c>
      <c r="BU245" s="9">
        <v>12000</v>
      </c>
      <c r="BV245" s="20">
        <f t="shared" ca="1" si="65"/>
        <v>12000</v>
      </c>
      <c r="BW245" s="20">
        <f t="shared" ca="1" si="65"/>
        <v>12000</v>
      </c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9" t="s">
        <v>326</v>
      </c>
    </row>
    <row r="246" spans="1:91" x14ac:dyDescent="0.3">
      <c r="A246" s="5" t="s">
        <v>346</v>
      </c>
      <c r="B246" s="5" t="s">
        <v>109</v>
      </c>
      <c r="C246" s="5">
        <v>5000</v>
      </c>
      <c r="D246" s="5">
        <v>5500</v>
      </c>
      <c r="E246" s="5">
        <f>D246*[1]Rentabiliteit!$V$74</f>
        <v>5500</v>
      </c>
      <c r="F246" s="5">
        <v>5500</v>
      </c>
      <c r="G246" s="5">
        <v>98.1</v>
      </c>
      <c r="H246" s="5">
        <v>96.1</v>
      </c>
      <c r="I246" s="5"/>
      <c r="J246" s="5">
        <v>2</v>
      </c>
      <c r="K246" s="5" t="s">
        <v>113</v>
      </c>
      <c r="L246" s="5">
        <v>1</v>
      </c>
      <c r="M246" s="5">
        <v>1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>
        <v>180</v>
      </c>
      <c r="AC246" s="5">
        <v>160</v>
      </c>
      <c r="AD246" s="5">
        <v>1000</v>
      </c>
      <c r="AE246" s="5">
        <v>1100</v>
      </c>
      <c r="AF246" s="5">
        <f t="shared" ref="AF246:AF260" si="66">IF(OR($K246=1,$L246="Yes"),SUM(AG246:AV246),0)</f>
        <v>0</v>
      </c>
      <c r="AG246" s="5">
        <v>16</v>
      </c>
      <c r="AH246" s="5">
        <v>16</v>
      </c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>
        <f t="shared" si="62"/>
        <v>0</v>
      </c>
      <c r="AX246" s="5">
        <v>20</v>
      </c>
      <c r="AY246" s="5">
        <v>20</v>
      </c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7" t="s">
        <v>250</v>
      </c>
      <c r="BO246" s="5">
        <v>8.4</v>
      </c>
      <c r="BP246" s="5" t="s">
        <v>320</v>
      </c>
      <c r="BQ246" s="8">
        <v>45600</v>
      </c>
      <c r="BR246" s="5"/>
      <c r="BS246" s="9">
        <f t="shared" si="63"/>
        <v>5606.523955147808</v>
      </c>
      <c r="BT246" s="6">
        <f t="shared" si="64"/>
        <v>23.913043478260871</v>
      </c>
      <c r="BU246" s="5">
        <v>8000</v>
      </c>
      <c r="BV246" s="20">
        <f t="shared" ca="1" si="65"/>
        <v>8000</v>
      </c>
      <c r="BW246" s="20">
        <f t="shared" ca="1" si="65"/>
        <v>8000</v>
      </c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9" t="s">
        <v>200</v>
      </c>
    </row>
    <row r="247" spans="1:91" x14ac:dyDescent="0.3">
      <c r="A247" s="5" t="s">
        <v>347</v>
      </c>
      <c r="B247" s="5" t="s">
        <v>109</v>
      </c>
      <c r="C247" s="5">
        <v>6000</v>
      </c>
      <c r="D247" s="5">
        <v>6600</v>
      </c>
      <c r="E247" s="5">
        <f>D247*[1]Rentabiliteit!$V$74</f>
        <v>6600</v>
      </c>
      <c r="F247" s="5">
        <v>6600</v>
      </c>
      <c r="G247" s="5">
        <v>98.2</v>
      </c>
      <c r="H247" s="5">
        <v>96.6</v>
      </c>
      <c r="I247" s="5"/>
      <c r="J247" s="5">
        <v>2</v>
      </c>
      <c r="K247" s="5" t="s">
        <v>113</v>
      </c>
      <c r="L247" s="5">
        <v>1</v>
      </c>
      <c r="M247" s="5">
        <v>1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>
        <v>180</v>
      </c>
      <c r="AC247" s="5">
        <v>160</v>
      </c>
      <c r="AD247" s="5">
        <v>1000</v>
      </c>
      <c r="AE247" s="5">
        <v>1100</v>
      </c>
      <c r="AF247" s="5">
        <f t="shared" si="66"/>
        <v>0</v>
      </c>
      <c r="AG247" s="5">
        <v>16</v>
      </c>
      <c r="AH247" s="5">
        <v>16</v>
      </c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>
        <f t="shared" si="62"/>
        <v>0</v>
      </c>
      <c r="AX247" s="5">
        <v>20</v>
      </c>
      <c r="AY247" s="5">
        <v>20</v>
      </c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7" t="s">
        <v>250</v>
      </c>
      <c r="BO247" s="5">
        <v>10</v>
      </c>
      <c r="BP247" s="5" t="s">
        <v>320</v>
      </c>
      <c r="BQ247" s="8">
        <v>45600</v>
      </c>
      <c r="BR247" s="5"/>
      <c r="BS247" s="9">
        <f t="shared" si="63"/>
        <v>6720.9775967413443</v>
      </c>
      <c r="BT247" s="6">
        <f t="shared" si="64"/>
        <v>28.695652173913043</v>
      </c>
      <c r="BU247" s="5">
        <v>9600</v>
      </c>
      <c r="BV247" s="20">
        <f t="shared" ca="1" si="65"/>
        <v>9600</v>
      </c>
      <c r="BW247" s="20">
        <f t="shared" ca="1" si="65"/>
        <v>9600</v>
      </c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9" t="s">
        <v>200</v>
      </c>
    </row>
    <row r="248" spans="1:91" x14ac:dyDescent="0.3">
      <c r="A248" s="5" t="s">
        <v>348</v>
      </c>
      <c r="B248" s="5" t="s">
        <v>109</v>
      </c>
      <c r="C248" s="5">
        <v>8000</v>
      </c>
      <c r="D248" s="5">
        <v>8800</v>
      </c>
      <c r="E248" s="5">
        <f>D248*[1]Rentabiliteit!$V$74</f>
        <v>8800</v>
      </c>
      <c r="F248" s="5">
        <v>8800</v>
      </c>
      <c r="G248" s="5">
        <v>98.3</v>
      </c>
      <c r="H248" s="5">
        <v>97.1</v>
      </c>
      <c r="I248" s="5"/>
      <c r="J248" s="5">
        <v>2</v>
      </c>
      <c r="K248" s="5" t="s">
        <v>113</v>
      </c>
      <c r="L248" s="5">
        <v>1</v>
      </c>
      <c r="M248" s="5">
        <v>1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>
        <v>180</v>
      </c>
      <c r="AC248" s="5">
        <v>160</v>
      </c>
      <c r="AD248" s="5">
        <v>1000</v>
      </c>
      <c r="AE248" s="5">
        <v>1100</v>
      </c>
      <c r="AF248" s="5">
        <f t="shared" si="66"/>
        <v>0</v>
      </c>
      <c r="AG248" s="5">
        <v>16</v>
      </c>
      <c r="AH248" s="5">
        <v>16</v>
      </c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>
        <f t="shared" si="62"/>
        <v>0</v>
      </c>
      <c r="AX248" s="5">
        <v>20</v>
      </c>
      <c r="AY248" s="5">
        <v>20</v>
      </c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7" t="s">
        <v>250</v>
      </c>
      <c r="BO248" s="5">
        <v>13.4</v>
      </c>
      <c r="BP248" s="5" t="s">
        <v>320</v>
      </c>
      <c r="BQ248" s="8">
        <v>45600</v>
      </c>
      <c r="BR248" s="5"/>
      <c r="BS248" s="9">
        <f t="shared" si="63"/>
        <v>8952.1871820956258</v>
      </c>
      <c r="BT248" s="6">
        <f t="shared" si="64"/>
        <v>38.260869565217391</v>
      </c>
      <c r="BU248" s="5">
        <v>12800</v>
      </c>
      <c r="BV248" s="20">
        <f t="shared" ca="1" si="65"/>
        <v>12800</v>
      </c>
      <c r="BW248" s="20">
        <f t="shared" ca="1" si="65"/>
        <v>12800</v>
      </c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9" t="s">
        <v>200</v>
      </c>
    </row>
    <row r="249" spans="1:91" x14ac:dyDescent="0.3">
      <c r="A249" s="5" t="s">
        <v>349</v>
      </c>
      <c r="B249" s="5" t="s">
        <v>109</v>
      </c>
      <c r="C249" s="5">
        <v>10000</v>
      </c>
      <c r="D249" s="5">
        <v>11000</v>
      </c>
      <c r="E249" s="5">
        <f>D249*[1]Rentabiliteit!$V$74</f>
        <v>11000</v>
      </c>
      <c r="F249" s="5">
        <v>11000</v>
      </c>
      <c r="G249" s="5">
        <v>98.3</v>
      </c>
      <c r="H249" s="5">
        <v>97.5</v>
      </c>
      <c r="I249" s="5"/>
      <c r="J249" s="5">
        <v>3</v>
      </c>
      <c r="K249" s="5" t="s">
        <v>113</v>
      </c>
      <c r="L249" s="5">
        <v>1</v>
      </c>
      <c r="M249" s="5">
        <v>1</v>
      </c>
      <c r="N249" s="5">
        <v>1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>
        <v>180</v>
      </c>
      <c r="AC249" s="5">
        <v>160</v>
      </c>
      <c r="AD249" s="5">
        <v>1000</v>
      </c>
      <c r="AE249" s="5">
        <v>1100</v>
      </c>
      <c r="AF249" s="5">
        <f t="shared" si="66"/>
        <v>0</v>
      </c>
      <c r="AG249" s="5">
        <v>16</v>
      </c>
      <c r="AH249" s="5">
        <v>16</v>
      </c>
      <c r="AI249" s="5">
        <v>16</v>
      </c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>
        <f t="shared" si="62"/>
        <v>0</v>
      </c>
      <c r="AX249" s="5">
        <v>20</v>
      </c>
      <c r="AY249" s="5">
        <v>20</v>
      </c>
      <c r="AZ249" s="5">
        <v>20</v>
      </c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7" t="s">
        <v>250</v>
      </c>
      <c r="BO249" s="5">
        <v>16.7</v>
      </c>
      <c r="BP249" s="5" t="s">
        <v>320</v>
      </c>
      <c r="BQ249" s="8">
        <v>45600</v>
      </c>
      <c r="BR249" s="5"/>
      <c r="BS249" s="9">
        <f t="shared" si="63"/>
        <v>11190.233977619533</v>
      </c>
      <c r="BT249" s="6">
        <f t="shared" si="64"/>
        <v>47.826086956521742</v>
      </c>
      <c r="BU249" s="5">
        <v>16000</v>
      </c>
      <c r="BV249" s="20">
        <f t="shared" ca="1" si="65"/>
        <v>16000</v>
      </c>
      <c r="BW249" s="20">
        <f t="shared" ca="1" si="65"/>
        <v>16000</v>
      </c>
      <c r="BX249" s="20">
        <f t="shared" ca="1" si="65"/>
        <v>16000</v>
      </c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9" t="s">
        <v>200</v>
      </c>
    </row>
    <row r="250" spans="1:91" x14ac:dyDescent="0.3">
      <c r="A250" s="5" t="s">
        <v>350</v>
      </c>
      <c r="B250" s="5" t="s">
        <v>109</v>
      </c>
      <c r="C250" s="5">
        <v>10000</v>
      </c>
      <c r="D250" s="5">
        <v>10000</v>
      </c>
      <c r="E250" s="5">
        <f>D250*[1]Rentabiliteit!$V$74</f>
        <v>10000</v>
      </c>
      <c r="F250" s="5">
        <v>10000</v>
      </c>
      <c r="G250" s="5">
        <v>98.3</v>
      </c>
      <c r="H250" s="5">
        <v>97.5</v>
      </c>
      <c r="I250" s="5"/>
      <c r="J250" s="5">
        <v>3</v>
      </c>
      <c r="K250" s="5" t="s">
        <v>113</v>
      </c>
      <c r="L250" s="5">
        <v>1</v>
      </c>
      <c r="M250" s="5">
        <v>1</v>
      </c>
      <c r="N250" s="5">
        <v>1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>
        <v>180</v>
      </c>
      <c r="AC250" s="5">
        <v>160</v>
      </c>
      <c r="AD250" s="5">
        <v>1000</v>
      </c>
      <c r="AE250" s="5">
        <v>1100</v>
      </c>
      <c r="AF250" s="5">
        <f t="shared" si="66"/>
        <v>0</v>
      </c>
      <c r="AG250" s="5">
        <v>16</v>
      </c>
      <c r="AH250" s="5">
        <v>16</v>
      </c>
      <c r="AI250" s="5">
        <v>16</v>
      </c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>
        <f t="shared" si="62"/>
        <v>0</v>
      </c>
      <c r="AX250" s="5">
        <v>20</v>
      </c>
      <c r="AY250" s="5">
        <v>20</v>
      </c>
      <c r="AZ250" s="5">
        <v>20</v>
      </c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7" t="s">
        <v>250</v>
      </c>
      <c r="BO250" s="5">
        <v>16.7</v>
      </c>
      <c r="BP250" s="5" t="s">
        <v>320</v>
      </c>
      <c r="BQ250" s="8">
        <v>45600</v>
      </c>
      <c r="BR250" s="5"/>
      <c r="BS250" s="9">
        <f t="shared" si="63"/>
        <v>10172.93997965412</v>
      </c>
      <c r="BT250" s="6">
        <f t="shared" si="64"/>
        <v>43.478260869565219</v>
      </c>
      <c r="BU250" s="5">
        <v>16000</v>
      </c>
      <c r="BV250" s="20">
        <f t="shared" ca="1" si="65"/>
        <v>16000</v>
      </c>
      <c r="BW250" s="20">
        <f t="shared" ca="1" si="65"/>
        <v>16000</v>
      </c>
      <c r="BX250" s="20">
        <f t="shared" ca="1" si="65"/>
        <v>16000</v>
      </c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9" t="s">
        <v>200</v>
      </c>
    </row>
    <row r="251" spans="1:91" x14ac:dyDescent="0.3">
      <c r="A251" s="5" t="s">
        <v>351</v>
      </c>
      <c r="B251" s="5" t="s">
        <v>109</v>
      </c>
      <c r="C251" s="5">
        <v>12000</v>
      </c>
      <c r="D251" s="5">
        <v>13200</v>
      </c>
      <c r="E251" s="5">
        <f>D251*[1]Rentabiliteit!$V$74</f>
        <v>13200</v>
      </c>
      <c r="F251" s="5">
        <v>13200</v>
      </c>
      <c r="G251" s="5">
        <v>98.3</v>
      </c>
      <c r="H251" s="5">
        <v>97.7</v>
      </c>
      <c r="I251" s="5"/>
      <c r="J251" s="5">
        <v>3</v>
      </c>
      <c r="K251" s="5" t="s">
        <v>113</v>
      </c>
      <c r="L251" s="5">
        <v>1</v>
      </c>
      <c r="M251" s="5">
        <v>1</v>
      </c>
      <c r="N251" s="5">
        <v>1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>
        <v>180</v>
      </c>
      <c r="AC251" s="5">
        <v>160</v>
      </c>
      <c r="AD251" s="5">
        <v>1000</v>
      </c>
      <c r="AE251" s="5">
        <v>1100</v>
      </c>
      <c r="AF251" s="5">
        <f t="shared" si="66"/>
        <v>0</v>
      </c>
      <c r="AG251" s="5">
        <v>16</v>
      </c>
      <c r="AH251" s="5">
        <v>16</v>
      </c>
      <c r="AI251" s="5">
        <v>16</v>
      </c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>
        <f t="shared" si="62"/>
        <v>0</v>
      </c>
      <c r="AX251" s="5">
        <v>20</v>
      </c>
      <c r="AY251" s="5">
        <v>20</v>
      </c>
      <c r="AZ251" s="5">
        <v>20</v>
      </c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7" t="s">
        <v>250</v>
      </c>
      <c r="BO251" s="5">
        <v>20.100000000000001</v>
      </c>
      <c r="BP251" s="5" t="s">
        <v>320</v>
      </c>
      <c r="BQ251" s="8">
        <v>45600</v>
      </c>
      <c r="BR251" s="5"/>
      <c r="BS251" s="9">
        <f t="shared" si="63"/>
        <v>13428.280773143439</v>
      </c>
      <c r="BT251" s="6">
        <f t="shared" si="64"/>
        <v>57.391304347826086</v>
      </c>
      <c r="BU251" s="5">
        <v>19200</v>
      </c>
      <c r="BV251" s="20">
        <f t="shared" ca="1" si="65"/>
        <v>19200</v>
      </c>
      <c r="BW251" s="20">
        <f t="shared" ca="1" si="65"/>
        <v>19200</v>
      </c>
      <c r="BX251" s="20">
        <f t="shared" ca="1" si="65"/>
        <v>19200</v>
      </c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9" t="s">
        <v>200</v>
      </c>
    </row>
    <row r="252" spans="1:91" x14ac:dyDescent="0.3">
      <c r="A252" s="5" t="s">
        <v>352</v>
      </c>
      <c r="B252" s="5" t="s">
        <v>109</v>
      </c>
      <c r="C252" s="5">
        <v>15000</v>
      </c>
      <c r="D252" s="5">
        <v>16500</v>
      </c>
      <c r="E252" s="5">
        <f>D252*[1]Rentabiliteit!$V$74</f>
        <v>16500</v>
      </c>
      <c r="F252" s="5">
        <v>16500</v>
      </c>
      <c r="G252" s="5">
        <v>98.3</v>
      </c>
      <c r="H252" s="5">
        <v>97.9</v>
      </c>
      <c r="I252" s="5"/>
      <c r="J252" s="5">
        <v>3</v>
      </c>
      <c r="K252" s="5" t="s">
        <v>113</v>
      </c>
      <c r="L252" s="5">
        <v>1</v>
      </c>
      <c r="M252" s="5">
        <v>1</v>
      </c>
      <c r="N252" s="5">
        <v>1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>
        <v>180</v>
      </c>
      <c r="AC252" s="5">
        <v>160</v>
      </c>
      <c r="AD252" s="5">
        <v>1000</v>
      </c>
      <c r="AE252" s="5">
        <v>1100</v>
      </c>
      <c r="AF252" s="5">
        <f t="shared" si="66"/>
        <v>0</v>
      </c>
      <c r="AG252" s="5">
        <v>16</v>
      </c>
      <c r="AH252" s="5">
        <v>16</v>
      </c>
      <c r="AI252" s="5">
        <v>16</v>
      </c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>
        <f t="shared" si="62"/>
        <v>0</v>
      </c>
      <c r="AX252" s="5">
        <v>20</v>
      </c>
      <c r="AY252" s="5">
        <v>20</v>
      </c>
      <c r="AZ252" s="5">
        <v>20</v>
      </c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7" t="s">
        <v>250</v>
      </c>
      <c r="BO252" s="5">
        <v>25.1</v>
      </c>
      <c r="BP252" s="5" t="s">
        <v>320</v>
      </c>
      <c r="BQ252" s="8">
        <v>45600</v>
      </c>
      <c r="BR252" s="5"/>
      <c r="BS252" s="9">
        <f t="shared" si="63"/>
        <v>16785.350966429298</v>
      </c>
      <c r="BT252" s="6">
        <f t="shared" si="64"/>
        <v>71.739130434782609</v>
      </c>
      <c r="BU252" s="5">
        <v>24000</v>
      </c>
      <c r="BV252" s="20">
        <f t="shared" ca="1" si="65"/>
        <v>24000</v>
      </c>
      <c r="BW252" s="20">
        <f t="shared" ca="1" si="65"/>
        <v>24000</v>
      </c>
      <c r="BX252" s="20">
        <f t="shared" ca="1" si="65"/>
        <v>24000</v>
      </c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9" t="s">
        <v>200</v>
      </c>
    </row>
    <row r="253" spans="1:91" x14ac:dyDescent="0.3">
      <c r="A253" s="5" t="s">
        <v>353</v>
      </c>
      <c r="B253" s="5" t="s">
        <v>109</v>
      </c>
      <c r="C253" s="5">
        <v>17000</v>
      </c>
      <c r="D253" s="5">
        <v>18700</v>
      </c>
      <c r="E253" s="5">
        <f>D253*[1]Rentabiliteit!$V$74</f>
        <v>18700</v>
      </c>
      <c r="F253" s="5">
        <v>18700</v>
      </c>
      <c r="G253" s="5">
        <v>98.3</v>
      </c>
      <c r="H253" s="5">
        <v>97.9</v>
      </c>
      <c r="I253" s="5"/>
      <c r="J253" s="5">
        <v>4</v>
      </c>
      <c r="K253" s="5" t="s">
        <v>113</v>
      </c>
      <c r="L253" s="5">
        <v>1</v>
      </c>
      <c r="M253" s="5">
        <v>1</v>
      </c>
      <c r="N253" s="5">
        <v>1</v>
      </c>
      <c r="O253" s="5">
        <v>1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>
        <v>180</v>
      </c>
      <c r="AC253" s="5">
        <v>160</v>
      </c>
      <c r="AD253" s="5">
        <v>1000</v>
      </c>
      <c r="AE253" s="5">
        <v>1100</v>
      </c>
      <c r="AF253" s="5">
        <f t="shared" si="66"/>
        <v>0</v>
      </c>
      <c r="AG253" s="5">
        <v>16</v>
      </c>
      <c r="AH253" s="5">
        <v>16</v>
      </c>
      <c r="AI253" s="5">
        <v>16</v>
      </c>
      <c r="AJ253" s="5">
        <v>16</v>
      </c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>
        <f t="shared" si="62"/>
        <v>0</v>
      </c>
      <c r="AX253" s="5">
        <v>20</v>
      </c>
      <c r="AY253" s="5">
        <v>20</v>
      </c>
      <c r="AZ253" s="5">
        <v>20</v>
      </c>
      <c r="BA253" s="5">
        <v>20</v>
      </c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7" t="s">
        <v>250</v>
      </c>
      <c r="BO253" s="5">
        <v>28.4</v>
      </c>
      <c r="BP253" s="5" t="s">
        <v>320</v>
      </c>
      <c r="BQ253" s="8">
        <v>45600</v>
      </c>
      <c r="BR253" s="5"/>
      <c r="BS253" s="9">
        <f t="shared" si="63"/>
        <v>19023.397761953205</v>
      </c>
      <c r="BT253" s="6">
        <f t="shared" si="64"/>
        <v>81.304347826086953</v>
      </c>
      <c r="BU253" s="5">
        <v>27200</v>
      </c>
      <c r="BV253" s="20">
        <f t="shared" ca="1" si="65"/>
        <v>27200</v>
      </c>
      <c r="BW253" s="20">
        <f t="shared" ca="1" si="65"/>
        <v>27200</v>
      </c>
      <c r="BX253" s="20">
        <f t="shared" ca="1" si="65"/>
        <v>27200</v>
      </c>
      <c r="BY253" s="20">
        <f t="shared" ca="1" si="65"/>
        <v>27200</v>
      </c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9" t="s">
        <v>200</v>
      </c>
    </row>
    <row r="254" spans="1:91" x14ac:dyDescent="0.3">
      <c r="A254" s="5" t="s">
        <v>354</v>
      </c>
      <c r="B254" s="5" t="s">
        <v>109</v>
      </c>
      <c r="C254" s="5">
        <v>20000</v>
      </c>
      <c r="D254" s="5">
        <v>22000</v>
      </c>
      <c r="E254" s="5">
        <f>D254*[1]Rentabiliteit!$V$74</f>
        <v>22000</v>
      </c>
      <c r="F254" s="5">
        <v>22000</v>
      </c>
      <c r="G254" s="5">
        <v>98.3</v>
      </c>
      <c r="H254" s="5">
        <v>97.9</v>
      </c>
      <c r="I254" s="5"/>
      <c r="J254" s="5">
        <v>4</v>
      </c>
      <c r="K254" s="5" t="s">
        <v>113</v>
      </c>
      <c r="L254" s="5">
        <v>1</v>
      </c>
      <c r="M254" s="5">
        <v>1</v>
      </c>
      <c r="N254" s="5">
        <v>1</v>
      </c>
      <c r="O254" s="5">
        <v>1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>
        <v>180</v>
      </c>
      <c r="AC254" s="5">
        <v>160</v>
      </c>
      <c r="AD254" s="5">
        <v>1000</v>
      </c>
      <c r="AE254" s="5">
        <v>1100</v>
      </c>
      <c r="AF254" s="5">
        <f t="shared" si="66"/>
        <v>0</v>
      </c>
      <c r="AG254" s="5">
        <v>16</v>
      </c>
      <c r="AH254" s="5">
        <v>16</v>
      </c>
      <c r="AI254" s="5">
        <v>16</v>
      </c>
      <c r="AJ254" s="5">
        <v>16</v>
      </c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>
        <f t="shared" si="62"/>
        <v>0</v>
      </c>
      <c r="AX254" s="5">
        <v>20</v>
      </c>
      <c r="AY254" s="5">
        <v>20</v>
      </c>
      <c r="AZ254" s="5">
        <v>20</v>
      </c>
      <c r="BA254" s="5">
        <v>20</v>
      </c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7" t="s">
        <v>250</v>
      </c>
      <c r="BO254" s="5">
        <v>33.4</v>
      </c>
      <c r="BP254" s="5" t="s">
        <v>320</v>
      </c>
      <c r="BQ254" s="8">
        <v>45600</v>
      </c>
      <c r="BR254" s="5"/>
      <c r="BS254" s="9">
        <f t="shared" si="63"/>
        <v>22380.467955239066</v>
      </c>
      <c r="BT254" s="6">
        <f t="shared" si="64"/>
        <v>95.652173913043484</v>
      </c>
      <c r="BU254" s="5">
        <v>32000</v>
      </c>
      <c r="BV254" s="20">
        <f t="shared" ca="1" si="65"/>
        <v>32000</v>
      </c>
      <c r="BW254" s="20">
        <f t="shared" ca="1" si="65"/>
        <v>32000</v>
      </c>
      <c r="BX254" s="20">
        <f t="shared" ca="1" si="65"/>
        <v>32000</v>
      </c>
      <c r="BY254" s="20">
        <f t="shared" ca="1" si="65"/>
        <v>32000</v>
      </c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9" t="s">
        <v>200</v>
      </c>
    </row>
    <row r="255" spans="1:91" x14ac:dyDescent="0.3">
      <c r="A255" s="5" t="s">
        <v>355</v>
      </c>
      <c r="B255" s="5" t="s">
        <v>109</v>
      </c>
      <c r="C255" s="5">
        <v>25000</v>
      </c>
      <c r="D255" s="5">
        <v>27500</v>
      </c>
      <c r="E255" s="5">
        <f>D255*[1]Rentabiliteit!$V$74</f>
        <v>27500</v>
      </c>
      <c r="F255" s="5">
        <v>27500</v>
      </c>
      <c r="G255" s="5">
        <v>98.3</v>
      </c>
      <c r="H255" s="5">
        <v>98</v>
      </c>
      <c r="I255" s="5"/>
      <c r="J255" s="5">
        <v>4</v>
      </c>
      <c r="K255" s="5" t="s">
        <v>113</v>
      </c>
      <c r="L255" s="5">
        <v>1</v>
      </c>
      <c r="M255" s="5">
        <v>1</v>
      </c>
      <c r="N255" s="5">
        <v>1</v>
      </c>
      <c r="O255" s="5">
        <v>1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>
        <v>180</v>
      </c>
      <c r="AC255" s="5">
        <v>160</v>
      </c>
      <c r="AD255" s="5">
        <v>1000</v>
      </c>
      <c r="AE255" s="5">
        <v>1100</v>
      </c>
      <c r="AF255" s="5">
        <f t="shared" si="66"/>
        <v>0</v>
      </c>
      <c r="AG255" s="5">
        <v>16</v>
      </c>
      <c r="AH255" s="5">
        <v>16</v>
      </c>
      <c r="AI255" s="5">
        <v>16</v>
      </c>
      <c r="AJ255" s="5">
        <v>16</v>
      </c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>
        <f t="shared" si="62"/>
        <v>0</v>
      </c>
      <c r="AX255" s="5">
        <v>20</v>
      </c>
      <c r="AY255" s="5">
        <v>20</v>
      </c>
      <c r="AZ255" s="5">
        <v>20</v>
      </c>
      <c r="BA255" s="5">
        <v>20</v>
      </c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7" t="s">
        <v>250</v>
      </c>
      <c r="BO255" s="5">
        <v>41.8</v>
      </c>
      <c r="BP255" s="5" t="s">
        <v>320</v>
      </c>
      <c r="BQ255" s="8">
        <v>45600</v>
      </c>
      <c r="BR255" s="5"/>
      <c r="BS255" s="9">
        <f t="shared" si="63"/>
        <v>27975.584944048831</v>
      </c>
      <c r="BT255" s="6">
        <f t="shared" si="64"/>
        <v>119.56521739130434</v>
      </c>
      <c r="BU255" s="5">
        <v>40000</v>
      </c>
      <c r="BV255" s="20">
        <f t="shared" ca="1" si="65"/>
        <v>40000</v>
      </c>
      <c r="BW255" s="20">
        <f t="shared" ca="1" si="65"/>
        <v>40000</v>
      </c>
      <c r="BX255" s="20">
        <f t="shared" ca="1" si="65"/>
        <v>40000</v>
      </c>
      <c r="BY255" s="20">
        <f t="shared" ca="1" si="65"/>
        <v>40000</v>
      </c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9" t="s">
        <v>200</v>
      </c>
    </row>
    <row r="256" spans="1:91" ht="15.6" x14ac:dyDescent="0.3">
      <c r="A256" s="5" t="s">
        <v>356</v>
      </c>
      <c r="B256" s="22" t="s">
        <v>170</v>
      </c>
      <c r="C256" s="5">
        <v>5000</v>
      </c>
      <c r="D256" s="5">
        <v>5500</v>
      </c>
      <c r="E256" s="5">
        <v>5500</v>
      </c>
      <c r="F256" s="5">
        <v>5500</v>
      </c>
      <c r="G256" s="5">
        <v>98</v>
      </c>
      <c r="H256" s="5">
        <v>97.3</v>
      </c>
      <c r="I256" s="5"/>
      <c r="J256" s="5">
        <v>2</v>
      </c>
      <c r="K256" s="5" t="s">
        <v>113</v>
      </c>
      <c r="L256" s="5">
        <v>1</v>
      </c>
      <c r="M256" s="5">
        <v>1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>
        <v>100</v>
      </c>
      <c r="AC256" s="5">
        <v>50</v>
      </c>
      <c r="AD256" s="5">
        <v>550</v>
      </c>
      <c r="AE256" s="5">
        <v>600</v>
      </c>
      <c r="AF256" s="5">
        <f t="shared" si="66"/>
        <v>0</v>
      </c>
      <c r="AG256" s="5">
        <v>16</v>
      </c>
      <c r="AH256" s="5">
        <v>16</v>
      </c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>
        <v>0</v>
      </c>
      <c r="AX256" s="5">
        <v>20</v>
      </c>
      <c r="AY256" s="5">
        <v>20</v>
      </c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7" t="s">
        <v>250</v>
      </c>
      <c r="BO256" s="5">
        <v>14.5</v>
      </c>
      <c r="BP256" s="5" t="s">
        <v>320</v>
      </c>
      <c r="BQ256" s="8">
        <v>45853</v>
      </c>
      <c r="BR256" s="5"/>
      <c r="BS256" s="9">
        <f t="shared" si="63"/>
        <v>5612.2448979591836</v>
      </c>
      <c r="BT256" s="6">
        <f t="shared" si="64"/>
        <v>23.913043478260871</v>
      </c>
      <c r="BU256" s="5">
        <v>8000</v>
      </c>
      <c r="BV256" s="20">
        <f t="shared" ref="BV256:BY270" ca="1" si="67">$BV256</f>
        <v>8000</v>
      </c>
      <c r="BW256" s="20">
        <f t="shared" ca="1" si="67"/>
        <v>8000</v>
      </c>
      <c r="BX256" s="51"/>
      <c r="BY256" s="51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9" t="s">
        <v>200</v>
      </c>
    </row>
    <row r="257" spans="1:91" ht="15.6" x14ac:dyDescent="0.3">
      <c r="A257" s="5" t="s">
        <v>357</v>
      </c>
      <c r="B257" s="22" t="s">
        <v>170</v>
      </c>
      <c r="C257" s="5">
        <v>6000</v>
      </c>
      <c r="D257" s="5">
        <v>6600</v>
      </c>
      <c r="E257" s="5">
        <v>6600</v>
      </c>
      <c r="F257" s="5">
        <v>6600</v>
      </c>
      <c r="G257" s="5">
        <v>98</v>
      </c>
      <c r="H257" s="5">
        <v>97.5</v>
      </c>
      <c r="I257" s="5"/>
      <c r="J257" s="5">
        <v>2</v>
      </c>
      <c r="K257" s="5" t="s">
        <v>113</v>
      </c>
      <c r="L257" s="5">
        <v>1</v>
      </c>
      <c r="M257" s="5">
        <v>1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>
        <v>100</v>
      </c>
      <c r="AC257" s="5">
        <v>50</v>
      </c>
      <c r="AD257" s="5">
        <v>550</v>
      </c>
      <c r="AE257" s="5">
        <v>600</v>
      </c>
      <c r="AF257" s="5">
        <f t="shared" si="66"/>
        <v>0</v>
      </c>
      <c r="AG257" s="5">
        <v>16</v>
      </c>
      <c r="AH257" s="5">
        <v>16</v>
      </c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>
        <v>0</v>
      </c>
      <c r="AX257" s="5">
        <v>20</v>
      </c>
      <c r="AY257" s="5">
        <v>20</v>
      </c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7" t="s">
        <v>250</v>
      </c>
      <c r="BO257" s="5">
        <v>17.399999999999999</v>
      </c>
      <c r="BP257" s="5" t="s">
        <v>320</v>
      </c>
      <c r="BQ257" s="8">
        <v>45853</v>
      </c>
      <c r="BR257" s="5"/>
      <c r="BS257" s="9">
        <f t="shared" si="63"/>
        <v>6734.6938775510207</v>
      </c>
      <c r="BT257" s="6">
        <f t="shared" si="64"/>
        <v>28.695652173913043</v>
      </c>
      <c r="BU257" s="5">
        <v>9600</v>
      </c>
      <c r="BV257" s="20">
        <f t="shared" ca="1" si="67"/>
        <v>9600</v>
      </c>
      <c r="BW257" s="20">
        <f t="shared" ca="1" si="67"/>
        <v>9600</v>
      </c>
      <c r="BX257" s="51"/>
      <c r="BY257" s="51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9" t="s">
        <v>200</v>
      </c>
    </row>
    <row r="258" spans="1:91" ht="15.6" x14ac:dyDescent="0.3">
      <c r="A258" s="5" t="s">
        <v>358</v>
      </c>
      <c r="B258" s="22" t="s">
        <v>170</v>
      </c>
      <c r="C258" s="5">
        <v>8000</v>
      </c>
      <c r="D258" s="5">
        <v>8800</v>
      </c>
      <c r="E258" s="5">
        <v>8800</v>
      </c>
      <c r="F258" s="5">
        <v>8800</v>
      </c>
      <c r="G258" s="5">
        <v>98</v>
      </c>
      <c r="H258" s="5">
        <v>97.7</v>
      </c>
      <c r="I258" s="5"/>
      <c r="J258" s="5">
        <v>3</v>
      </c>
      <c r="K258" s="5" t="s">
        <v>113</v>
      </c>
      <c r="L258" s="5">
        <v>1</v>
      </c>
      <c r="M258" s="5">
        <v>1</v>
      </c>
      <c r="N258" s="5">
        <v>1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>
        <v>100</v>
      </c>
      <c r="AC258" s="5">
        <v>50</v>
      </c>
      <c r="AD258" s="5">
        <v>550</v>
      </c>
      <c r="AE258" s="5">
        <v>600</v>
      </c>
      <c r="AF258" s="5">
        <f t="shared" si="66"/>
        <v>0</v>
      </c>
      <c r="AG258" s="5">
        <v>16</v>
      </c>
      <c r="AH258" s="5">
        <v>16</v>
      </c>
      <c r="AI258" s="5">
        <v>16</v>
      </c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>
        <v>0</v>
      </c>
      <c r="AX258" s="5">
        <v>20</v>
      </c>
      <c r="AY258" s="5">
        <v>20</v>
      </c>
      <c r="AZ258" s="5">
        <v>20</v>
      </c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7" t="s">
        <v>250</v>
      </c>
      <c r="BO258" s="5">
        <v>23.1</v>
      </c>
      <c r="BP258" s="5" t="s">
        <v>320</v>
      </c>
      <c r="BQ258" s="8">
        <v>45853</v>
      </c>
      <c r="BR258" s="5"/>
      <c r="BS258" s="9">
        <f t="shared" si="63"/>
        <v>8979.5918367346949</v>
      </c>
      <c r="BT258" s="6">
        <f t="shared" si="64"/>
        <v>38.260869565217391</v>
      </c>
      <c r="BU258" s="5">
        <v>12800</v>
      </c>
      <c r="BV258" s="20">
        <f t="shared" ca="1" si="67"/>
        <v>12800</v>
      </c>
      <c r="BW258" s="20">
        <f t="shared" ca="1" si="67"/>
        <v>12800</v>
      </c>
      <c r="BX258" s="20">
        <f t="shared" ca="1" si="67"/>
        <v>12800</v>
      </c>
      <c r="BY258" s="51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9" t="s">
        <v>200</v>
      </c>
    </row>
    <row r="259" spans="1:91" ht="15.6" x14ac:dyDescent="0.3">
      <c r="A259" s="5" t="s">
        <v>359</v>
      </c>
      <c r="B259" s="22" t="s">
        <v>170</v>
      </c>
      <c r="C259" s="5">
        <v>10000</v>
      </c>
      <c r="D259" s="5">
        <v>11000</v>
      </c>
      <c r="E259" s="5">
        <v>11000</v>
      </c>
      <c r="F259" s="5">
        <v>11000</v>
      </c>
      <c r="G259" s="5">
        <v>98</v>
      </c>
      <c r="H259" s="5">
        <v>97.8</v>
      </c>
      <c r="I259" s="5"/>
      <c r="J259" s="5">
        <v>3</v>
      </c>
      <c r="K259" s="5" t="s">
        <v>113</v>
      </c>
      <c r="L259" s="5">
        <v>1</v>
      </c>
      <c r="M259" s="5">
        <v>1</v>
      </c>
      <c r="N259" s="5">
        <v>1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>
        <v>100</v>
      </c>
      <c r="AC259" s="5">
        <v>50</v>
      </c>
      <c r="AD259" s="5">
        <v>550</v>
      </c>
      <c r="AE259" s="5">
        <v>600</v>
      </c>
      <c r="AF259" s="5">
        <f t="shared" si="66"/>
        <v>0</v>
      </c>
      <c r="AG259" s="5">
        <v>16</v>
      </c>
      <c r="AH259" s="5">
        <v>16</v>
      </c>
      <c r="AI259" s="5">
        <v>16</v>
      </c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>
        <v>0</v>
      </c>
      <c r="AX259" s="5">
        <v>20</v>
      </c>
      <c r="AY259" s="5">
        <v>20</v>
      </c>
      <c r="AZ259" s="5">
        <v>20</v>
      </c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7" t="s">
        <v>250</v>
      </c>
      <c r="BO259" s="5">
        <v>28.9</v>
      </c>
      <c r="BP259" s="5" t="s">
        <v>320</v>
      </c>
      <c r="BQ259" s="8">
        <v>45853</v>
      </c>
      <c r="BR259" s="5"/>
      <c r="BS259" s="9">
        <f t="shared" si="63"/>
        <v>11224.489795918367</v>
      </c>
      <c r="BT259" s="6">
        <f t="shared" si="64"/>
        <v>47.826086956521742</v>
      </c>
      <c r="BU259" s="5">
        <v>16000</v>
      </c>
      <c r="BV259" s="20">
        <f t="shared" ca="1" si="67"/>
        <v>16000</v>
      </c>
      <c r="BW259" s="20">
        <f t="shared" ca="1" si="67"/>
        <v>16000</v>
      </c>
      <c r="BX259" s="20">
        <f t="shared" ca="1" si="67"/>
        <v>16000</v>
      </c>
      <c r="BY259" s="51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9" t="s">
        <v>200</v>
      </c>
    </row>
    <row r="260" spans="1:91" ht="15.6" x14ac:dyDescent="0.3">
      <c r="A260" s="5" t="s">
        <v>360</v>
      </c>
      <c r="B260" s="22" t="s">
        <v>170</v>
      </c>
      <c r="C260" s="5">
        <v>12000</v>
      </c>
      <c r="D260" s="5">
        <v>13200</v>
      </c>
      <c r="E260" s="5">
        <v>13200</v>
      </c>
      <c r="F260" s="5">
        <v>13200</v>
      </c>
      <c r="G260" s="5">
        <v>98</v>
      </c>
      <c r="H260" s="5">
        <v>97.8</v>
      </c>
      <c r="I260" s="5"/>
      <c r="J260" s="5">
        <v>4</v>
      </c>
      <c r="K260" s="5" t="s">
        <v>113</v>
      </c>
      <c r="L260" s="5">
        <v>1</v>
      </c>
      <c r="M260" s="5">
        <v>1</v>
      </c>
      <c r="N260" s="5">
        <v>1</v>
      </c>
      <c r="O260" s="5">
        <v>1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>
        <v>100</v>
      </c>
      <c r="AC260" s="5">
        <v>50</v>
      </c>
      <c r="AD260" s="5">
        <v>550</v>
      </c>
      <c r="AE260" s="5">
        <v>600</v>
      </c>
      <c r="AF260" s="5">
        <f t="shared" si="66"/>
        <v>0</v>
      </c>
      <c r="AG260" s="5">
        <v>16</v>
      </c>
      <c r="AH260" s="5">
        <v>16</v>
      </c>
      <c r="AI260" s="5">
        <v>16</v>
      </c>
      <c r="AJ260" s="5">
        <v>16</v>
      </c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>
        <v>0</v>
      </c>
      <c r="AX260" s="5">
        <v>20</v>
      </c>
      <c r="AY260" s="5">
        <v>20</v>
      </c>
      <c r="AZ260" s="5">
        <v>20</v>
      </c>
      <c r="BA260" s="5">
        <v>20</v>
      </c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7" t="s">
        <v>250</v>
      </c>
      <c r="BO260" s="5">
        <v>34.700000000000003</v>
      </c>
      <c r="BP260" s="5" t="s">
        <v>320</v>
      </c>
      <c r="BQ260" s="8">
        <v>45853</v>
      </c>
      <c r="BR260" s="5"/>
      <c r="BS260" s="9">
        <f t="shared" si="63"/>
        <v>13469.387755102041</v>
      </c>
      <c r="BT260" s="6">
        <f t="shared" si="64"/>
        <v>57.391304347826086</v>
      </c>
      <c r="BU260" s="5">
        <v>192000</v>
      </c>
      <c r="BV260" s="20">
        <f t="shared" ca="1" si="67"/>
        <v>192000</v>
      </c>
      <c r="BW260" s="20">
        <f t="shared" ca="1" si="67"/>
        <v>192000</v>
      </c>
      <c r="BX260" s="20">
        <f t="shared" ca="1" si="67"/>
        <v>192000</v>
      </c>
      <c r="BY260" s="20">
        <f t="shared" ca="1" si="67"/>
        <v>192000</v>
      </c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9" t="s">
        <v>200</v>
      </c>
    </row>
    <row r="261" spans="1:91" x14ac:dyDescent="0.3">
      <c r="A261" s="5" t="s">
        <v>122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8"/>
      <c r="BR261" s="5"/>
      <c r="BS261" s="9">
        <v>9999999</v>
      </c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9"/>
      <c r="CM261" s="9"/>
    </row>
    <row r="262" spans="1:91" ht="15.6" x14ac:dyDescent="0.3">
      <c r="A262" s="11"/>
      <c r="B262" s="42"/>
      <c r="C262" s="11"/>
      <c r="D262" s="11"/>
      <c r="E262" s="11"/>
      <c r="F262" s="11"/>
      <c r="G262" s="3"/>
      <c r="H262" s="3"/>
      <c r="I262" s="3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3"/>
      <c r="BP262" s="11"/>
      <c r="BQ262" s="43"/>
      <c r="BR262" s="11"/>
      <c r="BS262" s="12"/>
      <c r="BT262" s="3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2"/>
      <c r="CM262" s="12"/>
    </row>
    <row r="263" spans="1:91" ht="15.6" x14ac:dyDescent="0.3">
      <c r="A263" s="1" t="s">
        <v>361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11"/>
      <c r="BS263" s="12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</row>
    <row r="264" spans="1:91" x14ac:dyDescent="0.3">
      <c r="A264" s="5" t="s">
        <v>1</v>
      </c>
      <c r="B264" s="5" t="s">
        <v>2</v>
      </c>
      <c r="C264" s="5" t="s">
        <v>3</v>
      </c>
      <c r="D264" s="5" t="s">
        <v>4</v>
      </c>
      <c r="E264" s="5" t="s">
        <v>5</v>
      </c>
      <c r="F264" s="5" t="s">
        <v>6</v>
      </c>
      <c r="G264" s="5" t="s">
        <v>7</v>
      </c>
      <c r="H264" s="5" t="s">
        <v>8</v>
      </c>
      <c r="I264" s="5" t="s">
        <v>9</v>
      </c>
      <c r="J264" s="5" t="s">
        <v>10</v>
      </c>
      <c r="K264" s="5" t="s">
        <v>11</v>
      </c>
      <c r="L264" s="5" t="s">
        <v>12</v>
      </c>
      <c r="M264" s="5" t="s">
        <v>13</v>
      </c>
      <c r="N264" s="5" t="s">
        <v>14</v>
      </c>
      <c r="O264" s="5" t="s">
        <v>15</v>
      </c>
      <c r="P264" s="5" t="s">
        <v>16</v>
      </c>
      <c r="Q264" s="5" t="s">
        <v>17</v>
      </c>
      <c r="R264" s="5" t="s">
        <v>18</v>
      </c>
      <c r="S264" s="5" t="s">
        <v>19</v>
      </c>
      <c r="T264" s="5" t="s">
        <v>20</v>
      </c>
      <c r="U264" s="5" t="s">
        <v>21</v>
      </c>
      <c r="V264" s="5" t="s">
        <v>22</v>
      </c>
      <c r="W264" s="5" t="s">
        <v>23</v>
      </c>
      <c r="X264" s="5" t="s">
        <v>24</v>
      </c>
      <c r="Y264" s="5" t="s">
        <v>25</v>
      </c>
      <c r="Z264" s="5" t="s">
        <v>26</v>
      </c>
      <c r="AA264" s="5" t="s">
        <v>27</v>
      </c>
      <c r="AB264" s="5" t="s">
        <v>28</v>
      </c>
      <c r="AC264" s="5" t="s">
        <v>29</v>
      </c>
      <c r="AD264" s="5" t="s">
        <v>30</v>
      </c>
      <c r="AE264" s="5" t="s">
        <v>31</v>
      </c>
      <c r="AF264" s="5" t="s">
        <v>32</v>
      </c>
      <c r="AG264" s="5" t="s">
        <v>33</v>
      </c>
      <c r="AH264" s="5" t="s">
        <v>34</v>
      </c>
      <c r="AI264" s="5" t="s">
        <v>35</v>
      </c>
      <c r="AJ264" s="5" t="s">
        <v>36</v>
      </c>
      <c r="AK264" s="5" t="s">
        <v>37</v>
      </c>
      <c r="AL264" s="5" t="s">
        <v>38</v>
      </c>
      <c r="AM264" s="5" t="s">
        <v>39</v>
      </c>
      <c r="AN264" s="5" t="s">
        <v>40</v>
      </c>
      <c r="AO264" s="5" t="s">
        <v>41</v>
      </c>
      <c r="AP264" s="5" t="s">
        <v>42</v>
      </c>
      <c r="AQ264" s="5" t="s">
        <v>43</v>
      </c>
      <c r="AR264" s="5" t="s">
        <v>44</v>
      </c>
      <c r="AS264" s="5" t="s">
        <v>45</v>
      </c>
      <c r="AT264" s="5" t="s">
        <v>46</v>
      </c>
      <c r="AU264" s="5" t="s">
        <v>47</v>
      </c>
      <c r="AV264" s="5" t="s">
        <v>48</v>
      </c>
      <c r="AW264" s="5" t="s">
        <v>49</v>
      </c>
      <c r="AX264" s="5" t="s">
        <v>50</v>
      </c>
      <c r="AY264" s="5" t="s">
        <v>51</v>
      </c>
      <c r="AZ264" s="5" t="s">
        <v>52</v>
      </c>
      <c r="BA264" s="5" t="s">
        <v>53</v>
      </c>
      <c r="BB264" s="5" t="s">
        <v>54</v>
      </c>
      <c r="BC264" s="5" t="s">
        <v>55</v>
      </c>
      <c r="BD264" s="5" t="s">
        <v>56</v>
      </c>
      <c r="BE264" s="5" t="s">
        <v>57</v>
      </c>
      <c r="BF264" s="5" t="s">
        <v>58</v>
      </c>
      <c r="BG264" s="5" t="s">
        <v>59</v>
      </c>
      <c r="BH264" s="5" t="s">
        <v>60</v>
      </c>
      <c r="BI264" s="5" t="s">
        <v>61</v>
      </c>
      <c r="BJ264" s="5" t="s">
        <v>62</v>
      </c>
      <c r="BK264" s="5" t="s">
        <v>63</v>
      </c>
      <c r="BL264" s="5" t="s">
        <v>64</v>
      </c>
      <c r="BM264" s="5" t="s">
        <v>65</v>
      </c>
      <c r="BN264" s="5" t="s">
        <v>66</v>
      </c>
      <c r="BO264" s="5" t="s">
        <v>67</v>
      </c>
      <c r="BP264" s="5" t="s">
        <v>68</v>
      </c>
      <c r="BQ264" s="5" t="s">
        <v>69</v>
      </c>
      <c r="BR264" s="5" t="s">
        <v>70</v>
      </c>
      <c r="BS264" s="5" t="s">
        <v>71</v>
      </c>
      <c r="BT264" s="5" t="s">
        <v>72</v>
      </c>
      <c r="BU264" s="5" t="s">
        <v>73</v>
      </c>
      <c r="BV264" s="5" t="s">
        <v>74</v>
      </c>
      <c r="BW264" s="5" t="s">
        <v>75</v>
      </c>
      <c r="BX264" s="5" t="s">
        <v>76</v>
      </c>
      <c r="BY264" s="5" t="s">
        <v>77</v>
      </c>
      <c r="BZ264" s="5" t="s">
        <v>78</v>
      </c>
      <c r="CA264" s="5" t="s">
        <v>79</v>
      </c>
      <c r="CB264" s="5" t="s">
        <v>80</v>
      </c>
      <c r="CC264" s="5" t="s">
        <v>81</v>
      </c>
      <c r="CD264" s="5" t="s">
        <v>82</v>
      </c>
      <c r="CE264" s="5" t="s">
        <v>83</v>
      </c>
      <c r="CF264" s="5" t="s">
        <v>84</v>
      </c>
      <c r="CG264" s="5" t="s">
        <v>85</v>
      </c>
      <c r="CH264" s="5" t="s">
        <v>86</v>
      </c>
      <c r="CI264" s="5" t="s">
        <v>87</v>
      </c>
      <c r="CJ264" s="5" t="s">
        <v>88</v>
      </c>
      <c r="CK264" s="5" t="s">
        <v>89</v>
      </c>
      <c r="CL264" s="5" t="s">
        <v>90</v>
      </c>
      <c r="CM264" s="5" t="s">
        <v>91</v>
      </c>
    </row>
    <row r="265" spans="1:91" x14ac:dyDescent="0.3">
      <c r="A265" s="5" t="s">
        <v>92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</row>
    <row r="266" spans="1:91" x14ac:dyDescent="0.3">
      <c r="A266" s="5" t="s">
        <v>362</v>
      </c>
      <c r="B266" s="5" t="s">
        <v>94</v>
      </c>
      <c r="C266" s="5">
        <v>1000</v>
      </c>
      <c r="D266" s="5">
        <v>1100</v>
      </c>
      <c r="E266" s="5">
        <f>D266*[1]Rentabiliteit!$V$74</f>
        <v>1100</v>
      </c>
      <c r="F266" s="5">
        <v>1100</v>
      </c>
      <c r="G266" s="6">
        <v>97.1</v>
      </c>
      <c r="H266" s="6">
        <v>96.6</v>
      </c>
      <c r="I266" s="6">
        <v>96.899999999999991</v>
      </c>
      <c r="J266" s="5">
        <v>1</v>
      </c>
      <c r="K266" s="5" t="s">
        <v>95</v>
      </c>
      <c r="L266" s="5">
        <v>1</v>
      </c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>
        <v>70</v>
      </c>
      <c r="AC266" s="5">
        <v>60</v>
      </c>
      <c r="AD266" s="5">
        <v>425</v>
      </c>
      <c r="AE266" s="5">
        <v>450</v>
      </c>
      <c r="AF266" s="5">
        <f t="shared" ref="AF266:AF280" si="68">IF(OR($K266=1,$L266="Yes"),SUM(AG266:AV266),0)</f>
        <v>0</v>
      </c>
      <c r="AG266" s="5">
        <v>11</v>
      </c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>
        <f t="shared" ref="AW266:AW280" si="69">IF(OR($K266=1,$L266="Yes"),SUM(AX266:BM266),0)</f>
        <v>0</v>
      </c>
      <c r="AX266" s="5">
        <f>AG266*1.2</f>
        <v>13.2</v>
      </c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7" t="s">
        <v>250</v>
      </c>
      <c r="BO266" s="5">
        <v>4.8</v>
      </c>
      <c r="BP266" s="5" t="s">
        <v>97</v>
      </c>
      <c r="BQ266" s="8">
        <v>42220</v>
      </c>
      <c r="BR266" s="5"/>
      <c r="BS266" s="9">
        <f t="shared" ref="BS266:BS280" si="70">E266/(IF(I266=0,G266,I266)/100)</f>
        <v>1135.1909184726524</v>
      </c>
      <c r="BT266" s="6">
        <f t="shared" ref="BT266:BT273" si="71">F266/230</f>
        <v>4.7826086956521738</v>
      </c>
      <c r="BU266" s="9">
        <v>99999999</v>
      </c>
      <c r="BV266" s="9">
        <v>99999999</v>
      </c>
      <c r="BW266" s="9">
        <v>99999999</v>
      </c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>
        <v>0</v>
      </c>
      <c r="CM266" s="9" t="s">
        <v>134</v>
      </c>
    </row>
    <row r="267" spans="1:91" x14ac:dyDescent="0.3">
      <c r="A267" s="5" t="s">
        <v>363</v>
      </c>
      <c r="B267" s="5" t="s">
        <v>94</v>
      </c>
      <c r="C267" s="5">
        <v>1500</v>
      </c>
      <c r="D267" s="5">
        <v>1650</v>
      </c>
      <c r="E267" s="5">
        <f>D267*[1]Rentabiliteit!$V$74</f>
        <v>1650</v>
      </c>
      <c r="F267" s="5">
        <v>1650</v>
      </c>
      <c r="G267" s="6">
        <v>97.2</v>
      </c>
      <c r="H267" s="6">
        <v>96.7</v>
      </c>
      <c r="I267" s="6">
        <v>97</v>
      </c>
      <c r="J267" s="5">
        <v>1</v>
      </c>
      <c r="K267" s="5" t="s">
        <v>95</v>
      </c>
      <c r="L267" s="5">
        <v>1</v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>
        <v>70</v>
      </c>
      <c r="AC267" s="5">
        <v>60</v>
      </c>
      <c r="AD267" s="5">
        <v>425</v>
      </c>
      <c r="AE267" s="5">
        <v>450</v>
      </c>
      <c r="AF267" s="5">
        <f t="shared" si="68"/>
        <v>0</v>
      </c>
      <c r="AG267" s="5">
        <v>11</v>
      </c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>
        <f t="shared" si="69"/>
        <v>0</v>
      </c>
      <c r="AX267" s="5">
        <f>AG267*1.2</f>
        <v>13.2</v>
      </c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7" t="s">
        <v>250</v>
      </c>
      <c r="BO267" s="5">
        <v>7.2</v>
      </c>
      <c r="BP267" s="5" t="s">
        <v>97</v>
      </c>
      <c r="BQ267" s="8">
        <v>42220</v>
      </c>
      <c r="BR267" s="5"/>
      <c r="BS267" s="9">
        <f t="shared" si="70"/>
        <v>1701.0309278350517</v>
      </c>
      <c r="BT267" s="6">
        <f t="shared" si="71"/>
        <v>7.1739130434782608</v>
      </c>
      <c r="BU267" s="9">
        <v>99999999</v>
      </c>
      <c r="BV267" s="9">
        <v>99999999</v>
      </c>
      <c r="BW267" s="9">
        <v>99999999</v>
      </c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>
        <v>0</v>
      </c>
      <c r="CM267" s="9" t="s">
        <v>134</v>
      </c>
    </row>
    <row r="268" spans="1:91" x14ac:dyDescent="0.3">
      <c r="A268" s="5" t="s">
        <v>364</v>
      </c>
      <c r="B268" s="5" t="s">
        <v>94</v>
      </c>
      <c r="C268" s="5">
        <v>2000</v>
      </c>
      <c r="D268" s="5">
        <v>2200</v>
      </c>
      <c r="E268" s="5">
        <f>D268*[1]Rentabiliteit!$V$74</f>
        <v>2200</v>
      </c>
      <c r="F268" s="5">
        <v>2200</v>
      </c>
      <c r="G268" s="6">
        <v>97.4</v>
      </c>
      <c r="H268" s="6">
        <v>96.9</v>
      </c>
      <c r="I268" s="6">
        <v>97.2</v>
      </c>
      <c r="J268" s="5">
        <v>1</v>
      </c>
      <c r="K268" s="5" t="s">
        <v>95</v>
      </c>
      <c r="L268" s="5">
        <v>1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>
        <v>70</v>
      </c>
      <c r="AC268" s="5">
        <v>60</v>
      </c>
      <c r="AD268" s="5">
        <v>450</v>
      </c>
      <c r="AE268" s="5">
        <v>500</v>
      </c>
      <c r="AF268" s="5">
        <f t="shared" si="68"/>
        <v>0</v>
      </c>
      <c r="AG268" s="5">
        <v>11</v>
      </c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>
        <f t="shared" si="69"/>
        <v>0</v>
      </c>
      <c r="AX268" s="5">
        <f>AG268*1.2</f>
        <v>13.2</v>
      </c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7" t="s">
        <v>250</v>
      </c>
      <c r="BO268" s="5">
        <v>10.6</v>
      </c>
      <c r="BP268" s="5" t="s">
        <v>97</v>
      </c>
      <c r="BQ268" s="8">
        <v>42220</v>
      </c>
      <c r="BR268" s="5"/>
      <c r="BS268" s="9">
        <f t="shared" si="70"/>
        <v>2263.3744855967079</v>
      </c>
      <c r="BT268" s="6">
        <f t="shared" si="71"/>
        <v>9.5652173913043477</v>
      </c>
      <c r="BU268" s="9">
        <v>99999999</v>
      </c>
      <c r="BV268" s="9">
        <v>99999999</v>
      </c>
      <c r="BW268" s="9">
        <v>99999999</v>
      </c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>
        <v>0</v>
      </c>
      <c r="CM268" s="9" t="s">
        <v>134</v>
      </c>
    </row>
    <row r="269" spans="1:91" x14ac:dyDescent="0.3">
      <c r="A269" s="5" t="s">
        <v>365</v>
      </c>
      <c r="B269" s="5" t="s">
        <v>94</v>
      </c>
      <c r="C269" s="5">
        <v>2500</v>
      </c>
      <c r="D269" s="5">
        <v>2750</v>
      </c>
      <c r="E269" s="5">
        <f>D269*[1]Rentabiliteit!$V$74</f>
        <v>2750</v>
      </c>
      <c r="F269" s="5">
        <v>2750</v>
      </c>
      <c r="G269" s="6">
        <v>97.5</v>
      </c>
      <c r="H269" s="6">
        <v>97</v>
      </c>
      <c r="I269" s="6">
        <v>97.3</v>
      </c>
      <c r="J269" s="5">
        <v>1</v>
      </c>
      <c r="K269" s="5" t="s">
        <v>95</v>
      </c>
      <c r="L269" s="5">
        <v>1</v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>
        <v>70</v>
      </c>
      <c r="AC269" s="5">
        <v>60</v>
      </c>
      <c r="AD269" s="5">
        <v>450</v>
      </c>
      <c r="AE269" s="5">
        <v>500</v>
      </c>
      <c r="AF269" s="5">
        <f t="shared" si="68"/>
        <v>0</v>
      </c>
      <c r="AG269" s="5">
        <v>11</v>
      </c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>
        <f t="shared" si="69"/>
        <v>0</v>
      </c>
      <c r="AX269" s="5">
        <f>AG269*1.2</f>
        <v>13.2</v>
      </c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7" t="s">
        <v>250</v>
      </c>
      <c r="BO269" s="5">
        <v>12.8</v>
      </c>
      <c r="BP269" s="5" t="s">
        <v>97</v>
      </c>
      <c r="BQ269" s="8">
        <v>42220</v>
      </c>
      <c r="BR269" s="5"/>
      <c r="BS269" s="9">
        <f t="shared" si="70"/>
        <v>2826.3103802672149</v>
      </c>
      <c r="BT269" s="6">
        <f t="shared" si="71"/>
        <v>11.956521739130435</v>
      </c>
      <c r="BU269" s="9">
        <v>99999999</v>
      </c>
      <c r="BV269" s="9">
        <v>99999999</v>
      </c>
      <c r="BW269" s="9">
        <v>99999999</v>
      </c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>
        <v>0</v>
      </c>
      <c r="CM269" s="9" t="s">
        <v>134</v>
      </c>
    </row>
    <row r="270" spans="1:91" x14ac:dyDescent="0.3">
      <c r="A270" s="5" t="s">
        <v>366</v>
      </c>
      <c r="B270" s="5" t="s">
        <v>94</v>
      </c>
      <c r="C270" s="5">
        <v>3000</v>
      </c>
      <c r="D270" s="5">
        <v>3000</v>
      </c>
      <c r="E270" s="5">
        <f>D270*[1]Rentabiliteit!$V$74</f>
        <v>3000</v>
      </c>
      <c r="F270" s="5">
        <v>3000</v>
      </c>
      <c r="G270" s="6">
        <v>97.6</v>
      </c>
      <c r="H270" s="6">
        <v>97.1</v>
      </c>
      <c r="I270" s="6">
        <v>97.399999999999991</v>
      </c>
      <c r="J270" s="5">
        <v>1</v>
      </c>
      <c r="K270" s="5" t="s">
        <v>95</v>
      </c>
      <c r="L270" s="5">
        <v>1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>
        <v>70</v>
      </c>
      <c r="AC270" s="5">
        <v>60</v>
      </c>
      <c r="AD270" s="5">
        <v>500</v>
      </c>
      <c r="AE270" s="5">
        <v>550</v>
      </c>
      <c r="AF270" s="5">
        <f t="shared" si="68"/>
        <v>0</v>
      </c>
      <c r="AG270" s="5">
        <v>11</v>
      </c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>
        <f t="shared" si="69"/>
        <v>0</v>
      </c>
      <c r="AX270" s="5">
        <f>AG270*1.2</f>
        <v>13.2</v>
      </c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7" t="s">
        <v>250</v>
      </c>
      <c r="BO270" s="5">
        <v>14.5</v>
      </c>
      <c r="BP270" s="5" t="s">
        <v>97</v>
      </c>
      <c r="BQ270" s="8">
        <v>42220</v>
      </c>
      <c r="BR270" s="5"/>
      <c r="BS270" s="9">
        <f t="shared" si="70"/>
        <v>3080.0821355236144</v>
      </c>
      <c r="BT270" s="6">
        <f t="shared" si="71"/>
        <v>13.043478260869565</v>
      </c>
      <c r="BU270" s="9">
        <v>99999999</v>
      </c>
      <c r="BV270" s="9">
        <v>99999999</v>
      </c>
      <c r="BW270" s="9">
        <v>99999999</v>
      </c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>
        <v>0</v>
      </c>
      <c r="CM270" s="9" t="s">
        <v>134</v>
      </c>
    </row>
    <row r="271" spans="1:91" x14ac:dyDescent="0.3">
      <c r="A271" s="5" t="s">
        <v>367</v>
      </c>
      <c r="B271" s="5" t="s">
        <v>94</v>
      </c>
      <c r="C271" s="5">
        <v>3000</v>
      </c>
      <c r="D271" s="5">
        <v>3300</v>
      </c>
      <c r="E271" s="5">
        <f>D271*[1]Rentabiliteit!$V$74</f>
        <v>3300</v>
      </c>
      <c r="F271" s="5">
        <v>3300</v>
      </c>
      <c r="G271" s="6">
        <v>97.4</v>
      </c>
      <c r="H271" s="6">
        <v>97</v>
      </c>
      <c r="I271" s="6">
        <v>97.2</v>
      </c>
      <c r="J271" s="5">
        <v>2</v>
      </c>
      <c r="K271" s="5" t="s">
        <v>250</v>
      </c>
      <c r="L271" s="5">
        <v>1</v>
      </c>
      <c r="M271" s="5">
        <v>1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>
        <v>100</v>
      </c>
      <c r="AC271" s="5">
        <v>90</v>
      </c>
      <c r="AD271" s="5">
        <v>550</v>
      </c>
      <c r="AE271" s="5">
        <v>600</v>
      </c>
      <c r="AF271" s="5">
        <f t="shared" si="68"/>
        <v>0</v>
      </c>
      <c r="AG271" s="5">
        <v>11</v>
      </c>
      <c r="AH271" s="5">
        <v>11</v>
      </c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>
        <f t="shared" si="69"/>
        <v>0</v>
      </c>
      <c r="AX271" s="5">
        <f t="shared" ref="AX271:AY280" si="72">AG271*1.2</f>
        <v>13.2</v>
      </c>
      <c r="AY271" s="5">
        <f t="shared" si="72"/>
        <v>13.2</v>
      </c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7" t="s">
        <v>250</v>
      </c>
      <c r="BO271" s="5">
        <v>15</v>
      </c>
      <c r="BP271" s="5" t="s">
        <v>97</v>
      </c>
      <c r="BQ271" s="8">
        <v>42220</v>
      </c>
      <c r="BR271" s="5"/>
      <c r="BS271" s="9">
        <f t="shared" si="70"/>
        <v>3395.0617283950619</v>
      </c>
      <c r="BT271" s="6">
        <f t="shared" si="71"/>
        <v>14.347826086956522</v>
      </c>
      <c r="BU271" s="9">
        <v>99999999</v>
      </c>
      <c r="BV271" s="9">
        <v>99999999</v>
      </c>
      <c r="BW271" s="9">
        <v>99999999</v>
      </c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>
        <v>0</v>
      </c>
      <c r="CM271" s="9" t="s">
        <v>134</v>
      </c>
    </row>
    <row r="272" spans="1:91" x14ac:dyDescent="0.3">
      <c r="A272" s="5" t="s">
        <v>368</v>
      </c>
      <c r="B272" s="5" t="s">
        <v>94</v>
      </c>
      <c r="C272" s="5">
        <v>4000</v>
      </c>
      <c r="D272" s="5">
        <v>4400</v>
      </c>
      <c r="E272" s="5">
        <f>D272*[1]Rentabiliteit!$V$74</f>
        <v>4400</v>
      </c>
      <c r="F272" s="5">
        <v>4400</v>
      </c>
      <c r="G272" s="6">
        <v>97.5</v>
      </c>
      <c r="H272" s="6">
        <v>97.1</v>
      </c>
      <c r="I272" s="6">
        <v>97.3</v>
      </c>
      <c r="J272" s="5">
        <v>2</v>
      </c>
      <c r="K272" s="5" t="s">
        <v>250</v>
      </c>
      <c r="L272" s="5">
        <v>1</v>
      </c>
      <c r="M272" s="5">
        <v>1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>
        <v>100</v>
      </c>
      <c r="AC272" s="5">
        <v>90</v>
      </c>
      <c r="AD272" s="5">
        <v>550</v>
      </c>
      <c r="AE272" s="5">
        <v>600</v>
      </c>
      <c r="AF272" s="5">
        <f t="shared" si="68"/>
        <v>0</v>
      </c>
      <c r="AG272" s="5">
        <v>11</v>
      </c>
      <c r="AH272" s="5">
        <v>11</v>
      </c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>
        <f t="shared" si="69"/>
        <v>0</v>
      </c>
      <c r="AX272" s="5">
        <f t="shared" si="72"/>
        <v>13.2</v>
      </c>
      <c r="AY272" s="5">
        <f t="shared" si="72"/>
        <v>13.2</v>
      </c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7" t="s">
        <v>250</v>
      </c>
      <c r="BO272" s="5">
        <v>21</v>
      </c>
      <c r="BP272" s="5" t="s">
        <v>97</v>
      </c>
      <c r="BQ272" s="8">
        <v>42220</v>
      </c>
      <c r="BR272" s="5"/>
      <c r="BS272" s="9">
        <f t="shared" si="70"/>
        <v>4522.0966084275442</v>
      </c>
      <c r="BT272" s="6">
        <f t="shared" si="71"/>
        <v>19.130434782608695</v>
      </c>
      <c r="BU272" s="9">
        <v>99999999</v>
      </c>
      <c r="BV272" s="9">
        <v>99999999</v>
      </c>
      <c r="BW272" s="9">
        <v>99999999</v>
      </c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>
        <v>0</v>
      </c>
      <c r="CM272" s="9" t="s">
        <v>134</v>
      </c>
    </row>
    <row r="273" spans="1:91" x14ac:dyDescent="0.3">
      <c r="A273" s="5" t="s">
        <v>369</v>
      </c>
      <c r="B273" s="5" t="s">
        <v>94</v>
      </c>
      <c r="C273" s="5">
        <v>5000</v>
      </c>
      <c r="D273" s="5">
        <v>5000</v>
      </c>
      <c r="E273" s="5">
        <f>D273*[1]Rentabiliteit!$V$74</f>
        <v>5000</v>
      </c>
      <c r="F273" s="5">
        <v>5000</v>
      </c>
      <c r="G273" s="6">
        <v>97.6</v>
      </c>
      <c r="H273" s="6">
        <v>97.2</v>
      </c>
      <c r="I273" s="6">
        <v>97.399999999999991</v>
      </c>
      <c r="J273" s="5">
        <v>2</v>
      </c>
      <c r="K273" s="5" t="s">
        <v>250</v>
      </c>
      <c r="L273" s="5">
        <v>1</v>
      </c>
      <c r="M273" s="5">
        <v>1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>
        <v>100</v>
      </c>
      <c r="AC273" s="5">
        <v>90</v>
      </c>
      <c r="AD273" s="5">
        <v>550</v>
      </c>
      <c r="AE273" s="5">
        <v>600</v>
      </c>
      <c r="AF273" s="5">
        <f t="shared" si="68"/>
        <v>0</v>
      </c>
      <c r="AG273" s="5">
        <v>11</v>
      </c>
      <c r="AH273" s="5">
        <v>11</v>
      </c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>
        <f t="shared" si="69"/>
        <v>0</v>
      </c>
      <c r="AX273" s="5">
        <f t="shared" si="72"/>
        <v>13.2</v>
      </c>
      <c r="AY273" s="5">
        <f t="shared" si="72"/>
        <v>13.2</v>
      </c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7" t="s">
        <v>250</v>
      </c>
      <c r="BO273" s="5">
        <v>25</v>
      </c>
      <c r="BP273" s="5" t="s">
        <v>97</v>
      </c>
      <c r="BQ273" s="8">
        <v>42220</v>
      </c>
      <c r="BR273" s="5"/>
      <c r="BS273" s="9">
        <f t="shared" si="70"/>
        <v>5133.4702258726902</v>
      </c>
      <c r="BT273" s="6">
        <f t="shared" si="71"/>
        <v>21.739130434782609</v>
      </c>
      <c r="BU273" s="9">
        <v>99999999</v>
      </c>
      <c r="BV273" s="9">
        <v>99999999</v>
      </c>
      <c r="BW273" s="9">
        <v>99999999</v>
      </c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>
        <v>0</v>
      </c>
      <c r="CM273" s="9" t="s">
        <v>134</v>
      </c>
    </row>
    <row r="274" spans="1:91" x14ac:dyDescent="0.3">
      <c r="A274" s="5" t="s">
        <v>370</v>
      </c>
      <c r="B274" s="5" t="s">
        <v>109</v>
      </c>
      <c r="C274" s="5">
        <v>6000</v>
      </c>
      <c r="D274" s="5">
        <v>6000</v>
      </c>
      <c r="E274" s="5">
        <f>D274*[1]Rentabiliteit!$V$74</f>
        <v>6000</v>
      </c>
      <c r="F274" s="5">
        <v>6000</v>
      </c>
      <c r="G274" s="6">
        <v>97.8</v>
      </c>
      <c r="H274" s="6">
        <v>97.4</v>
      </c>
      <c r="I274" s="6">
        <v>97.6</v>
      </c>
      <c r="J274" s="5">
        <v>2</v>
      </c>
      <c r="K274" s="5" t="s">
        <v>96</v>
      </c>
      <c r="L274" s="5">
        <v>1</v>
      </c>
      <c r="M274" s="5">
        <v>1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>
        <v>180</v>
      </c>
      <c r="AC274" s="5">
        <v>160</v>
      </c>
      <c r="AD274" s="5">
        <v>900</v>
      </c>
      <c r="AE274" s="5">
        <v>1000</v>
      </c>
      <c r="AF274" s="5">
        <f t="shared" si="68"/>
        <v>0</v>
      </c>
      <c r="AG274" s="5">
        <v>11</v>
      </c>
      <c r="AH274" s="5">
        <v>11</v>
      </c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>
        <f t="shared" si="69"/>
        <v>0</v>
      </c>
      <c r="AX274" s="5">
        <f t="shared" si="72"/>
        <v>13.2</v>
      </c>
      <c r="AY274" s="5">
        <f t="shared" si="72"/>
        <v>13.2</v>
      </c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7" t="s">
        <v>96</v>
      </c>
      <c r="BO274" s="5">
        <v>9.6999999999999993</v>
      </c>
      <c r="BP274" s="5" t="s">
        <v>97</v>
      </c>
      <c r="BQ274" s="8">
        <v>42220</v>
      </c>
      <c r="BR274" s="5"/>
      <c r="BS274" s="9">
        <f t="shared" si="70"/>
        <v>6147.5409836065573</v>
      </c>
      <c r="BT274" s="6">
        <f t="shared" ref="BT274:BT280" si="73">F274/400/SQRT(3)</f>
        <v>8.6602540378443873</v>
      </c>
      <c r="BU274" s="9">
        <v>99999999</v>
      </c>
      <c r="BV274" s="9">
        <v>99999999</v>
      </c>
      <c r="BW274" s="9">
        <v>99999999</v>
      </c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>
        <v>0</v>
      </c>
      <c r="CM274" s="9" t="s">
        <v>134</v>
      </c>
    </row>
    <row r="275" spans="1:91" x14ac:dyDescent="0.3">
      <c r="A275" s="5" t="s">
        <v>371</v>
      </c>
      <c r="B275" s="5" t="s">
        <v>109</v>
      </c>
      <c r="C275" s="5">
        <v>8000</v>
      </c>
      <c r="D275" s="5">
        <v>8000</v>
      </c>
      <c r="E275" s="5">
        <f>D275*[1]Rentabiliteit!$V$74</f>
        <v>8000</v>
      </c>
      <c r="F275" s="5">
        <v>8000</v>
      </c>
      <c r="G275" s="6">
        <v>98</v>
      </c>
      <c r="H275" s="6">
        <v>97.5</v>
      </c>
      <c r="I275" s="6">
        <v>97.7</v>
      </c>
      <c r="J275" s="5">
        <v>2</v>
      </c>
      <c r="K275" s="5" t="s">
        <v>113</v>
      </c>
      <c r="L275" s="5">
        <v>2</v>
      </c>
      <c r="M275" s="5">
        <v>1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>
        <v>180</v>
      </c>
      <c r="AC275" s="5">
        <v>160</v>
      </c>
      <c r="AD275" s="5">
        <v>900</v>
      </c>
      <c r="AE275" s="5">
        <v>1000</v>
      </c>
      <c r="AF275" s="5">
        <f t="shared" si="68"/>
        <v>0</v>
      </c>
      <c r="AG275" s="5">
        <v>22</v>
      </c>
      <c r="AH275" s="5">
        <v>11</v>
      </c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>
        <f t="shared" si="69"/>
        <v>0</v>
      </c>
      <c r="AX275" s="5">
        <f t="shared" si="72"/>
        <v>26.4</v>
      </c>
      <c r="AY275" s="5">
        <f t="shared" si="72"/>
        <v>13.2</v>
      </c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7" t="s">
        <v>96</v>
      </c>
      <c r="BO275" s="5">
        <v>12.9</v>
      </c>
      <c r="BP275" s="5" t="s">
        <v>97</v>
      </c>
      <c r="BQ275" s="8">
        <v>42220</v>
      </c>
      <c r="BR275" s="5"/>
      <c r="BS275" s="9">
        <f t="shared" si="70"/>
        <v>8188.3316274309109</v>
      </c>
      <c r="BT275" s="6">
        <f t="shared" si="73"/>
        <v>11.547005383792516</v>
      </c>
      <c r="BU275" s="9">
        <v>99999999</v>
      </c>
      <c r="BV275" s="9">
        <v>99999999</v>
      </c>
      <c r="BW275" s="9">
        <v>99999999</v>
      </c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>
        <v>0</v>
      </c>
      <c r="CM275" s="9" t="s">
        <v>134</v>
      </c>
    </row>
    <row r="276" spans="1:91" x14ac:dyDescent="0.3">
      <c r="A276" s="5" t="s">
        <v>372</v>
      </c>
      <c r="B276" s="5" t="s">
        <v>109</v>
      </c>
      <c r="C276" s="5">
        <v>10000</v>
      </c>
      <c r="D276" s="5">
        <v>10000</v>
      </c>
      <c r="E276" s="5">
        <f>D276*[1]Rentabiliteit!$V$74</f>
        <v>10000</v>
      </c>
      <c r="F276" s="5">
        <v>10000</v>
      </c>
      <c r="G276" s="6">
        <v>98</v>
      </c>
      <c r="H276" s="6">
        <v>97.6</v>
      </c>
      <c r="I276" s="6">
        <v>97.8</v>
      </c>
      <c r="J276" s="5">
        <v>2</v>
      </c>
      <c r="K276" s="5" t="s">
        <v>113</v>
      </c>
      <c r="L276" s="5">
        <v>2</v>
      </c>
      <c r="M276" s="5">
        <v>1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>
        <v>180</v>
      </c>
      <c r="AC276" s="5">
        <v>160</v>
      </c>
      <c r="AD276" s="5">
        <v>900</v>
      </c>
      <c r="AE276" s="5">
        <v>1000</v>
      </c>
      <c r="AF276" s="5">
        <f t="shared" si="68"/>
        <v>0</v>
      </c>
      <c r="AG276" s="5">
        <v>22</v>
      </c>
      <c r="AH276" s="5">
        <v>11</v>
      </c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>
        <f t="shared" si="69"/>
        <v>0</v>
      </c>
      <c r="AX276" s="5">
        <f t="shared" si="72"/>
        <v>26.4</v>
      </c>
      <c r="AY276" s="5">
        <f t="shared" si="72"/>
        <v>13.2</v>
      </c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7" t="s">
        <v>96</v>
      </c>
      <c r="BO276" s="5">
        <v>15.9</v>
      </c>
      <c r="BP276" s="5" t="s">
        <v>97</v>
      </c>
      <c r="BQ276" s="8">
        <v>42220</v>
      </c>
      <c r="BR276" s="5"/>
      <c r="BS276" s="9">
        <f t="shared" si="70"/>
        <v>10224.948875255624</v>
      </c>
      <c r="BT276" s="6">
        <f t="shared" si="73"/>
        <v>14.433756729740645</v>
      </c>
      <c r="BU276" s="9">
        <v>99999999</v>
      </c>
      <c r="BV276" s="9">
        <v>99999999</v>
      </c>
      <c r="BW276" s="9">
        <v>99999999</v>
      </c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>
        <v>0</v>
      </c>
      <c r="CM276" s="9" t="s">
        <v>134</v>
      </c>
    </row>
    <row r="277" spans="1:91" x14ac:dyDescent="0.3">
      <c r="A277" s="16" t="s">
        <v>373</v>
      </c>
      <c r="B277" s="16" t="s">
        <v>109</v>
      </c>
      <c r="C277" s="16">
        <v>12000</v>
      </c>
      <c r="D277" s="16">
        <v>13200</v>
      </c>
      <c r="E277" s="16">
        <f>D277*[1]Rentabiliteit!$V$74</f>
        <v>13200</v>
      </c>
      <c r="F277" s="16">
        <v>13200</v>
      </c>
      <c r="G277" s="17">
        <v>98.3</v>
      </c>
      <c r="H277" s="17">
        <v>98</v>
      </c>
      <c r="I277" s="23">
        <v>97.8</v>
      </c>
      <c r="J277" s="16">
        <v>2</v>
      </c>
      <c r="K277" s="5" t="s">
        <v>113</v>
      </c>
      <c r="L277" s="5">
        <v>2</v>
      </c>
      <c r="M277" s="5">
        <v>1</v>
      </c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>
        <v>200</v>
      </c>
      <c r="AC277" s="16">
        <v>180</v>
      </c>
      <c r="AD277" s="16">
        <v>900</v>
      </c>
      <c r="AE277" s="16">
        <v>1000</v>
      </c>
      <c r="AF277" s="5">
        <f t="shared" si="68"/>
        <v>0</v>
      </c>
      <c r="AG277" s="16">
        <v>22</v>
      </c>
      <c r="AH277" s="16">
        <v>11</v>
      </c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5">
        <f t="shared" si="69"/>
        <v>0</v>
      </c>
      <c r="AX277" s="14">
        <f t="shared" si="72"/>
        <v>26.4</v>
      </c>
      <c r="AY277" s="14">
        <f t="shared" si="72"/>
        <v>13.2</v>
      </c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8" t="s">
        <v>96</v>
      </c>
      <c r="BO277" s="17">
        <v>20</v>
      </c>
      <c r="BP277" s="16" t="s">
        <v>174</v>
      </c>
      <c r="BQ277" s="19">
        <v>43524</v>
      </c>
      <c r="BR277" s="16"/>
      <c r="BS277" s="15">
        <f t="shared" si="70"/>
        <v>13496.932515337423</v>
      </c>
      <c r="BT277" s="17">
        <f t="shared" si="73"/>
        <v>19.05255888325765</v>
      </c>
      <c r="BU277" s="15">
        <v>99999999</v>
      </c>
      <c r="BV277" s="15">
        <v>99999999</v>
      </c>
      <c r="BW277" s="15">
        <v>99999999</v>
      </c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>
        <v>0</v>
      </c>
      <c r="CM277" s="9" t="s">
        <v>134</v>
      </c>
    </row>
    <row r="278" spans="1:91" x14ac:dyDescent="0.3">
      <c r="A278" s="16" t="s">
        <v>374</v>
      </c>
      <c r="B278" s="16" t="s">
        <v>109</v>
      </c>
      <c r="C278" s="16">
        <v>15000</v>
      </c>
      <c r="D278" s="16">
        <v>16500</v>
      </c>
      <c r="E278" s="16">
        <f>D278*[1]Rentabiliteit!$V$74</f>
        <v>16500</v>
      </c>
      <c r="F278" s="16">
        <v>16500</v>
      </c>
      <c r="G278" s="17">
        <v>98.4</v>
      </c>
      <c r="H278" s="17">
        <v>98.1</v>
      </c>
      <c r="I278" s="23">
        <v>97.8</v>
      </c>
      <c r="J278" s="16">
        <v>2</v>
      </c>
      <c r="K278" s="5" t="s">
        <v>113</v>
      </c>
      <c r="L278" s="5">
        <v>2</v>
      </c>
      <c r="M278" s="5">
        <v>2</v>
      </c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>
        <v>200</v>
      </c>
      <c r="AC278" s="16">
        <v>180</v>
      </c>
      <c r="AD278" s="16">
        <v>900</v>
      </c>
      <c r="AE278" s="16">
        <v>1000</v>
      </c>
      <c r="AF278" s="5">
        <f t="shared" si="68"/>
        <v>0</v>
      </c>
      <c r="AG278" s="16">
        <v>22</v>
      </c>
      <c r="AH278" s="16">
        <v>22</v>
      </c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5">
        <f t="shared" si="69"/>
        <v>0</v>
      </c>
      <c r="AX278" s="14">
        <f t="shared" si="72"/>
        <v>26.4</v>
      </c>
      <c r="AY278" s="14">
        <f t="shared" si="72"/>
        <v>26.4</v>
      </c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8" t="s">
        <v>96</v>
      </c>
      <c r="BO278" s="17">
        <v>25</v>
      </c>
      <c r="BP278" s="16" t="s">
        <v>174</v>
      </c>
      <c r="BQ278" s="19">
        <v>43524</v>
      </c>
      <c r="BR278" s="16"/>
      <c r="BS278" s="15">
        <f t="shared" si="70"/>
        <v>16871.165644171779</v>
      </c>
      <c r="BT278" s="17">
        <f t="shared" si="73"/>
        <v>23.815698604072065</v>
      </c>
      <c r="BU278" s="15">
        <v>99999999</v>
      </c>
      <c r="BV278" s="15">
        <v>99999999</v>
      </c>
      <c r="BW278" s="15">
        <v>99999999</v>
      </c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>
        <v>0</v>
      </c>
      <c r="CM278" s="9" t="s">
        <v>134</v>
      </c>
    </row>
    <row r="279" spans="1:91" x14ac:dyDescent="0.3">
      <c r="A279" s="16" t="s">
        <v>375</v>
      </c>
      <c r="B279" s="16" t="s">
        <v>109</v>
      </c>
      <c r="C279" s="16">
        <v>17000</v>
      </c>
      <c r="D279" s="16">
        <v>18700</v>
      </c>
      <c r="E279" s="16">
        <f>D279*[1]Rentabiliteit!$V$74</f>
        <v>18700</v>
      </c>
      <c r="F279" s="16">
        <v>18700</v>
      </c>
      <c r="G279" s="17">
        <v>98.5</v>
      </c>
      <c r="H279" s="17">
        <v>98.2</v>
      </c>
      <c r="I279" s="23">
        <v>97.9</v>
      </c>
      <c r="J279" s="16">
        <v>2</v>
      </c>
      <c r="K279" s="5" t="s">
        <v>113</v>
      </c>
      <c r="L279" s="5">
        <v>2</v>
      </c>
      <c r="M279" s="5">
        <v>2</v>
      </c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>
        <v>200</v>
      </c>
      <c r="AC279" s="16">
        <v>180</v>
      </c>
      <c r="AD279" s="16">
        <v>900</v>
      </c>
      <c r="AE279" s="16">
        <v>1000</v>
      </c>
      <c r="AF279" s="5">
        <f t="shared" si="68"/>
        <v>0</v>
      </c>
      <c r="AG279" s="16">
        <v>22</v>
      </c>
      <c r="AH279" s="16">
        <v>22</v>
      </c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5">
        <f t="shared" si="69"/>
        <v>0</v>
      </c>
      <c r="AX279" s="14">
        <f t="shared" si="72"/>
        <v>26.4</v>
      </c>
      <c r="AY279" s="14">
        <f t="shared" si="72"/>
        <v>26.4</v>
      </c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8" t="s">
        <v>96</v>
      </c>
      <c r="BO279" s="17">
        <v>28.3</v>
      </c>
      <c r="BP279" s="16" t="s">
        <v>174</v>
      </c>
      <c r="BQ279" s="19">
        <v>43524</v>
      </c>
      <c r="BR279" s="16"/>
      <c r="BS279" s="15">
        <f t="shared" si="70"/>
        <v>19101.123595505615</v>
      </c>
      <c r="BT279" s="17">
        <f t="shared" si="73"/>
        <v>26.991125084615007</v>
      </c>
      <c r="BU279" s="15">
        <v>99999999</v>
      </c>
      <c r="BV279" s="15">
        <v>99999999</v>
      </c>
      <c r="BW279" s="15">
        <v>99999999</v>
      </c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>
        <v>0</v>
      </c>
      <c r="CM279" s="9" t="s">
        <v>134</v>
      </c>
    </row>
    <row r="280" spans="1:91" x14ac:dyDescent="0.3">
      <c r="A280" s="16" t="s">
        <v>376</v>
      </c>
      <c r="B280" s="16" t="s">
        <v>109</v>
      </c>
      <c r="C280" s="16">
        <v>20000</v>
      </c>
      <c r="D280" s="16">
        <v>22000</v>
      </c>
      <c r="E280" s="16">
        <f>D280*[1]Rentabiliteit!$V$74</f>
        <v>22000</v>
      </c>
      <c r="F280" s="16">
        <v>22000</v>
      </c>
      <c r="G280" s="17">
        <v>98.5</v>
      </c>
      <c r="H280" s="17">
        <v>98.2</v>
      </c>
      <c r="I280" s="23">
        <v>97.9</v>
      </c>
      <c r="J280" s="16">
        <v>2</v>
      </c>
      <c r="K280" s="5" t="s">
        <v>113</v>
      </c>
      <c r="L280" s="5">
        <v>2</v>
      </c>
      <c r="M280" s="5">
        <v>2</v>
      </c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>
        <v>200</v>
      </c>
      <c r="AC280" s="16">
        <v>180</v>
      </c>
      <c r="AD280" s="16">
        <v>900</v>
      </c>
      <c r="AE280" s="16">
        <v>1000</v>
      </c>
      <c r="AF280" s="5">
        <f t="shared" si="68"/>
        <v>0</v>
      </c>
      <c r="AG280" s="16">
        <v>22</v>
      </c>
      <c r="AH280" s="16">
        <v>22</v>
      </c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5">
        <f t="shared" si="69"/>
        <v>0</v>
      </c>
      <c r="AX280" s="14">
        <f t="shared" si="72"/>
        <v>26.4</v>
      </c>
      <c r="AY280" s="14">
        <f t="shared" si="72"/>
        <v>26.4</v>
      </c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8" t="s">
        <v>96</v>
      </c>
      <c r="BO280" s="17">
        <v>33</v>
      </c>
      <c r="BP280" s="16" t="s">
        <v>174</v>
      </c>
      <c r="BQ280" s="19">
        <v>43524</v>
      </c>
      <c r="BR280" s="16"/>
      <c r="BS280" s="15">
        <f t="shared" si="70"/>
        <v>22471.91011235955</v>
      </c>
      <c r="BT280" s="17">
        <f t="shared" si="73"/>
        <v>31.754264805429418</v>
      </c>
      <c r="BU280" s="15">
        <v>99999999</v>
      </c>
      <c r="BV280" s="15">
        <v>99999999</v>
      </c>
      <c r="BW280" s="15">
        <v>99999999</v>
      </c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>
        <v>0</v>
      </c>
      <c r="CM280" s="9" t="s">
        <v>134</v>
      </c>
    </row>
    <row r="281" spans="1:91" x14ac:dyDescent="0.3">
      <c r="A281" s="5" t="s">
        <v>122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9">
        <v>9999999</v>
      </c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9"/>
      <c r="CM281" s="9"/>
    </row>
    <row r="282" spans="1:91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2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12"/>
      <c r="CM282" s="12"/>
    </row>
    <row r="283" spans="1:91" ht="15.6" x14ac:dyDescent="0.3">
      <c r="A283" s="1" t="s">
        <v>377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11"/>
      <c r="BS283" s="12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</row>
    <row r="284" spans="1:91" x14ac:dyDescent="0.3">
      <c r="A284" s="5" t="s">
        <v>1</v>
      </c>
      <c r="B284" s="5" t="s">
        <v>2</v>
      </c>
      <c r="C284" s="5" t="s">
        <v>3</v>
      </c>
      <c r="D284" s="5" t="s">
        <v>4</v>
      </c>
      <c r="E284" s="5" t="s">
        <v>5</v>
      </c>
      <c r="F284" s="5" t="s">
        <v>6</v>
      </c>
      <c r="G284" s="5" t="s">
        <v>7</v>
      </c>
      <c r="H284" s="5" t="s">
        <v>8</v>
      </c>
      <c r="I284" s="5" t="s">
        <v>9</v>
      </c>
      <c r="J284" s="5" t="s">
        <v>10</v>
      </c>
      <c r="K284" s="5" t="s">
        <v>11</v>
      </c>
      <c r="L284" s="5" t="s">
        <v>12</v>
      </c>
      <c r="M284" s="5" t="s">
        <v>13</v>
      </c>
      <c r="N284" s="5" t="s">
        <v>14</v>
      </c>
      <c r="O284" s="5" t="s">
        <v>15</v>
      </c>
      <c r="P284" s="5" t="s">
        <v>16</v>
      </c>
      <c r="Q284" s="5" t="s">
        <v>17</v>
      </c>
      <c r="R284" s="5" t="s">
        <v>18</v>
      </c>
      <c r="S284" s="5" t="s">
        <v>19</v>
      </c>
      <c r="T284" s="5" t="s">
        <v>20</v>
      </c>
      <c r="U284" s="5" t="s">
        <v>21</v>
      </c>
      <c r="V284" s="5" t="s">
        <v>22</v>
      </c>
      <c r="W284" s="5" t="s">
        <v>23</v>
      </c>
      <c r="X284" s="5" t="s">
        <v>24</v>
      </c>
      <c r="Y284" s="5" t="s">
        <v>25</v>
      </c>
      <c r="Z284" s="5" t="s">
        <v>26</v>
      </c>
      <c r="AA284" s="5" t="s">
        <v>27</v>
      </c>
      <c r="AB284" s="5" t="s">
        <v>28</v>
      </c>
      <c r="AC284" s="5" t="s">
        <v>29</v>
      </c>
      <c r="AD284" s="5" t="s">
        <v>30</v>
      </c>
      <c r="AE284" s="5" t="s">
        <v>31</v>
      </c>
      <c r="AF284" s="5" t="s">
        <v>32</v>
      </c>
      <c r="AG284" s="5" t="s">
        <v>33</v>
      </c>
      <c r="AH284" s="5" t="s">
        <v>34</v>
      </c>
      <c r="AI284" s="5" t="s">
        <v>35</v>
      </c>
      <c r="AJ284" s="5" t="s">
        <v>36</v>
      </c>
      <c r="AK284" s="5" t="s">
        <v>37</v>
      </c>
      <c r="AL284" s="5" t="s">
        <v>38</v>
      </c>
      <c r="AM284" s="5" t="s">
        <v>39</v>
      </c>
      <c r="AN284" s="5" t="s">
        <v>40</v>
      </c>
      <c r="AO284" s="5" t="s">
        <v>41</v>
      </c>
      <c r="AP284" s="5" t="s">
        <v>42</v>
      </c>
      <c r="AQ284" s="5" t="s">
        <v>43</v>
      </c>
      <c r="AR284" s="5" t="s">
        <v>44</v>
      </c>
      <c r="AS284" s="5" t="s">
        <v>45</v>
      </c>
      <c r="AT284" s="5" t="s">
        <v>46</v>
      </c>
      <c r="AU284" s="5" t="s">
        <v>47</v>
      </c>
      <c r="AV284" s="5" t="s">
        <v>48</v>
      </c>
      <c r="AW284" s="5" t="s">
        <v>49</v>
      </c>
      <c r="AX284" s="5" t="s">
        <v>50</v>
      </c>
      <c r="AY284" s="5" t="s">
        <v>51</v>
      </c>
      <c r="AZ284" s="5" t="s">
        <v>52</v>
      </c>
      <c r="BA284" s="5" t="s">
        <v>53</v>
      </c>
      <c r="BB284" s="5" t="s">
        <v>54</v>
      </c>
      <c r="BC284" s="5" t="s">
        <v>55</v>
      </c>
      <c r="BD284" s="5" t="s">
        <v>56</v>
      </c>
      <c r="BE284" s="5" t="s">
        <v>57</v>
      </c>
      <c r="BF284" s="5" t="s">
        <v>58</v>
      </c>
      <c r="BG284" s="5" t="s">
        <v>59</v>
      </c>
      <c r="BH284" s="5" t="s">
        <v>60</v>
      </c>
      <c r="BI284" s="5" t="s">
        <v>61</v>
      </c>
      <c r="BJ284" s="5" t="s">
        <v>62</v>
      </c>
      <c r="BK284" s="5" t="s">
        <v>63</v>
      </c>
      <c r="BL284" s="5" t="s">
        <v>64</v>
      </c>
      <c r="BM284" s="5" t="s">
        <v>65</v>
      </c>
      <c r="BN284" s="5" t="s">
        <v>66</v>
      </c>
      <c r="BO284" s="5" t="s">
        <v>67</v>
      </c>
      <c r="BP284" s="5" t="s">
        <v>68</v>
      </c>
      <c r="BQ284" s="5" t="s">
        <v>69</v>
      </c>
      <c r="BR284" s="5" t="s">
        <v>70</v>
      </c>
      <c r="BS284" s="5" t="s">
        <v>71</v>
      </c>
      <c r="BT284" s="5" t="s">
        <v>72</v>
      </c>
      <c r="BU284" s="5" t="s">
        <v>73</v>
      </c>
      <c r="BV284" s="5" t="s">
        <v>74</v>
      </c>
      <c r="BW284" s="5" t="s">
        <v>75</v>
      </c>
      <c r="BX284" s="5" t="s">
        <v>76</v>
      </c>
      <c r="BY284" s="5" t="s">
        <v>77</v>
      </c>
      <c r="BZ284" s="5" t="s">
        <v>78</v>
      </c>
      <c r="CA284" s="5" t="s">
        <v>79</v>
      </c>
      <c r="CB284" s="5" t="s">
        <v>80</v>
      </c>
      <c r="CC284" s="5" t="s">
        <v>81</v>
      </c>
      <c r="CD284" s="5" t="s">
        <v>82</v>
      </c>
      <c r="CE284" s="5" t="s">
        <v>83</v>
      </c>
      <c r="CF284" s="5" t="s">
        <v>84</v>
      </c>
      <c r="CG284" s="5" t="s">
        <v>85</v>
      </c>
      <c r="CH284" s="5" t="s">
        <v>86</v>
      </c>
      <c r="CI284" s="5" t="s">
        <v>87</v>
      </c>
      <c r="CJ284" s="5" t="s">
        <v>88</v>
      </c>
      <c r="CK284" s="5" t="s">
        <v>89</v>
      </c>
      <c r="CL284" s="5" t="s">
        <v>90</v>
      </c>
      <c r="CM284" s="5" t="s">
        <v>91</v>
      </c>
    </row>
    <row r="285" spans="1:91" x14ac:dyDescent="0.3">
      <c r="A285" s="5" t="s">
        <v>92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</row>
    <row r="286" spans="1:91" x14ac:dyDescent="0.3">
      <c r="A286" s="5" t="s">
        <v>378</v>
      </c>
      <c r="B286" s="5" t="s">
        <v>94</v>
      </c>
      <c r="C286" s="5">
        <v>1500</v>
      </c>
      <c r="D286" s="5">
        <v>1500</v>
      </c>
      <c r="E286" s="5">
        <f>D286*[1]Rentabiliteit!$V$74</f>
        <v>1500</v>
      </c>
      <c r="F286" s="5">
        <v>1500</v>
      </c>
      <c r="G286" s="6">
        <v>97.2</v>
      </c>
      <c r="H286" s="6">
        <v>96.1</v>
      </c>
      <c r="I286" s="6">
        <v>97.2</v>
      </c>
      <c r="J286" s="5">
        <v>1</v>
      </c>
      <c r="K286" s="5" t="s">
        <v>95</v>
      </c>
      <c r="L286" s="5">
        <v>1</v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>
        <v>80</v>
      </c>
      <c r="AC286" s="5">
        <v>50</v>
      </c>
      <c r="AD286" s="5">
        <v>500</v>
      </c>
      <c r="AE286" s="5">
        <v>600</v>
      </c>
      <c r="AF286" s="5">
        <f t="shared" ref="AF286:AF305" si="74">IF(OR($K286=1,$L286="Yes"),SUM(AG286:AV286),0)</f>
        <v>0</v>
      </c>
      <c r="AG286" s="5">
        <v>10</v>
      </c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>
        <f t="shared" ref="AW286:AW305" si="75">IF(OR($K286=1,$L286="Yes"),SUM(AX286:BM286),0)</f>
        <v>0</v>
      </c>
      <c r="AX286" s="5">
        <v>18</v>
      </c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7" t="s">
        <v>96</v>
      </c>
      <c r="BO286" s="6">
        <v>7</v>
      </c>
      <c r="BP286" s="5" t="s">
        <v>97</v>
      </c>
      <c r="BQ286" s="8">
        <v>43238</v>
      </c>
      <c r="BR286" s="5"/>
      <c r="BS286" s="9">
        <f t="shared" ref="BS286:BS305" si="76">E286/(IF(I286=0,G286,I286)/100)</f>
        <v>1543.2098765432099</v>
      </c>
      <c r="BT286" s="6">
        <f t="shared" ref="BT286:BT291" si="77">F286/230</f>
        <v>6.5217391304347823</v>
      </c>
      <c r="BU286" s="14">
        <v>99999999</v>
      </c>
      <c r="BV286" s="14">
        <v>99999999</v>
      </c>
      <c r="BW286" s="14">
        <v>99999999</v>
      </c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9">
        <v>0</v>
      </c>
      <c r="CM286" s="9" t="s">
        <v>379</v>
      </c>
    </row>
    <row r="287" spans="1:91" x14ac:dyDescent="0.3">
      <c r="A287" s="5" t="s">
        <v>380</v>
      </c>
      <c r="B287" s="5" t="s">
        <v>94</v>
      </c>
      <c r="C287" s="5">
        <v>2500</v>
      </c>
      <c r="D287" s="5">
        <v>2500</v>
      </c>
      <c r="E287" s="5">
        <f>D287*[1]Rentabiliteit!$V$74</f>
        <v>2500</v>
      </c>
      <c r="F287" s="5">
        <v>2500</v>
      </c>
      <c r="G287" s="6">
        <v>97.2</v>
      </c>
      <c r="H287" s="6">
        <v>96.7</v>
      </c>
      <c r="I287" s="6">
        <v>96.7</v>
      </c>
      <c r="J287" s="5">
        <v>1</v>
      </c>
      <c r="K287" s="5" t="s">
        <v>95</v>
      </c>
      <c r="L287" s="5">
        <v>1</v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>
        <v>80</v>
      </c>
      <c r="AC287" s="5">
        <v>50</v>
      </c>
      <c r="AD287" s="5">
        <v>500</v>
      </c>
      <c r="AE287" s="5">
        <v>600</v>
      </c>
      <c r="AF287" s="5">
        <f t="shared" si="74"/>
        <v>0</v>
      </c>
      <c r="AG287" s="5">
        <v>10</v>
      </c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>
        <f t="shared" si="75"/>
        <v>0</v>
      </c>
      <c r="AX287" s="5">
        <v>18</v>
      </c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7" t="s">
        <v>96</v>
      </c>
      <c r="BO287" s="6">
        <v>11</v>
      </c>
      <c r="BP287" s="5" t="s">
        <v>97</v>
      </c>
      <c r="BQ287" s="8">
        <v>43238</v>
      </c>
      <c r="BR287" s="5"/>
      <c r="BS287" s="9">
        <f t="shared" si="76"/>
        <v>2585.3154084798343</v>
      </c>
      <c r="BT287" s="6">
        <f t="shared" si="77"/>
        <v>10.869565217391305</v>
      </c>
      <c r="BU287" s="14">
        <v>99999999</v>
      </c>
      <c r="BV287" s="14">
        <v>99999999</v>
      </c>
      <c r="BW287" s="14">
        <v>99999999</v>
      </c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9">
        <v>0</v>
      </c>
      <c r="CM287" s="9" t="s">
        <v>379</v>
      </c>
    </row>
    <row r="288" spans="1:91" x14ac:dyDescent="0.3">
      <c r="A288" s="5" t="s">
        <v>381</v>
      </c>
      <c r="B288" s="5" t="s">
        <v>94</v>
      </c>
      <c r="C288" s="5">
        <v>3000</v>
      </c>
      <c r="D288" s="5">
        <v>3000</v>
      </c>
      <c r="E288" s="5">
        <f>D288*[1]Rentabiliteit!$V$74</f>
        <v>3000</v>
      </c>
      <c r="F288" s="5">
        <v>3000</v>
      </c>
      <c r="G288" s="6">
        <v>97</v>
      </c>
      <c r="H288" s="6">
        <v>96.4</v>
      </c>
      <c r="I288" s="6">
        <v>96.9</v>
      </c>
      <c r="J288" s="5">
        <v>2</v>
      </c>
      <c r="K288" s="5" t="s">
        <v>113</v>
      </c>
      <c r="L288" s="5">
        <v>2</v>
      </c>
      <c r="M288" s="5">
        <v>2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>
        <v>125</v>
      </c>
      <c r="AC288" s="5">
        <v>100</v>
      </c>
      <c r="AD288" s="5">
        <v>500</v>
      </c>
      <c r="AE288" s="5">
        <v>600</v>
      </c>
      <c r="AF288" s="5">
        <f t="shared" si="74"/>
        <v>0</v>
      </c>
      <c r="AG288" s="5">
        <v>15</v>
      </c>
      <c r="AH288" s="5">
        <v>15</v>
      </c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>
        <f t="shared" si="75"/>
        <v>0</v>
      </c>
      <c r="AX288" s="14">
        <v>15</v>
      </c>
      <c r="AY288" s="14">
        <v>15</v>
      </c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7" t="s">
        <v>96</v>
      </c>
      <c r="BO288" s="6">
        <v>16</v>
      </c>
      <c r="BP288" s="5" t="s">
        <v>97</v>
      </c>
      <c r="BQ288" s="8">
        <v>43238</v>
      </c>
      <c r="BR288" s="5"/>
      <c r="BS288" s="9">
        <f t="shared" si="76"/>
        <v>3095.9752321981423</v>
      </c>
      <c r="BT288" s="6">
        <f t="shared" si="77"/>
        <v>13.043478260869565</v>
      </c>
      <c r="BU288" s="14">
        <v>99999999</v>
      </c>
      <c r="BV288" s="14">
        <v>99999999</v>
      </c>
      <c r="BW288" s="14">
        <v>99999999</v>
      </c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9">
        <v>0</v>
      </c>
      <c r="CM288" s="9" t="s">
        <v>379</v>
      </c>
    </row>
    <row r="289" spans="1:91" x14ac:dyDescent="0.3">
      <c r="A289" s="5" t="s">
        <v>382</v>
      </c>
      <c r="B289" s="5" t="s">
        <v>94</v>
      </c>
      <c r="C289" s="5">
        <v>3680</v>
      </c>
      <c r="D289" s="5">
        <v>3680</v>
      </c>
      <c r="E289" s="5">
        <f>D289*[1]Rentabiliteit!$V$74</f>
        <v>3680</v>
      </c>
      <c r="F289" s="5">
        <v>3680</v>
      </c>
      <c r="G289" s="6">
        <v>97</v>
      </c>
      <c r="H289" s="6">
        <v>96.5</v>
      </c>
      <c r="I289" s="6">
        <v>96.7</v>
      </c>
      <c r="J289" s="5">
        <v>2</v>
      </c>
      <c r="K289" s="5" t="s">
        <v>113</v>
      </c>
      <c r="L289" s="5">
        <v>2</v>
      </c>
      <c r="M289" s="5">
        <v>2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>
        <v>125</v>
      </c>
      <c r="AC289" s="5">
        <v>100</v>
      </c>
      <c r="AD289" s="5">
        <v>500</v>
      </c>
      <c r="AE289" s="5">
        <v>600</v>
      </c>
      <c r="AF289" s="5">
        <f t="shared" si="74"/>
        <v>0</v>
      </c>
      <c r="AG289" s="5">
        <v>15</v>
      </c>
      <c r="AH289" s="5">
        <v>15</v>
      </c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>
        <f t="shared" si="75"/>
        <v>0</v>
      </c>
      <c r="AX289" s="14">
        <v>15</v>
      </c>
      <c r="AY289" s="14">
        <v>15</v>
      </c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7" t="s">
        <v>96</v>
      </c>
      <c r="BO289" s="6">
        <v>16</v>
      </c>
      <c r="BP289" s="5" t="s">
        <v>97</v>
      </c>
      <c r="BQ289" s="8">
        <v>43238</v>
      </c>
      <c r="BR289" s="5"/>
      <c r="BS289" s="9">
        <f t="shared" si="76"/>
        <v>3805.5842812823162</v>
      </c>
      <c r="BT289" s="6">
        <f t="shared" si="77"/>
        <v>16</v>
      </c>
      <c r="BU289" s="14">
        <v>99999999</v>
      </c>
      <c r="BV289" s="14">
        <v>99999999</v>
      </c>
      <c r="BW289" s="14">
        <v>99999999</v>
      </c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9">
        <v>0</v>
      </c>
      <c r="CM289" s="9" t="s">
        <v>379</v>
      </c>
    </row>
    <row r="290" spans="1:91" x14ac:dyDescent="0.3">
      <c r="A290" s="5" t="s">
        <v>383</v>
      </c>
      <c r="B290" s="5" t="s">
        <v>94</v>
      </c>
      <c r="C290" s="5">
        <v>4000</v>
      </c>
      <c r="D290" s="5">
        <v>4000</v>
      </c>
      <c r="E290" s="5">
        <f>D290*[1]Rentabiliteit!$V$74</f>
        <v>4000</v>
      </c>
      <c r="F290" s="5">
        <v>4000</v>
      </c>
      <c r="G290" s="6">
        <v>97</v>
      </c>
      <c r="H290" s="6">
        <v>96.5</v>
      </c>
      <c r="I290" s="6">
        <v>96.6</v>
      </c>
      <c r="J290" s="5">
        <v>2</v>
      </c>
      <c r="K290" s="5" t="s">
        <v>113</v>
      </c>
      <c r="L290" s="5">
        <v>2</v>
      </c>
      <c r="M290" s="5">
        <v>2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>
        <v>125</v>
      </c>
      <c r="AC290" s="5">
        <v>100</v>
      </c>
      <c r="AD290" s="5">
        <v>500</v>
      </c>
      <c r="AE290" s="5">
        <v>600</v>
      </c>
      <c r="AF290" s="5">
        <f t="shared" si="74"/>
        <v>0</v>
      </c>
      <c r="AG290" s="5">
        <v>15</v>
      </c>
      <c r="AH290" s="5">
        <v>15</v>
      </c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>
        <f t="shared" si="75"/>
        <v>0</v>
      </c>
      <c r="AX290" s="14">
        <v>15</v>
      </c>
      <c r="AY290" s="14">
        <v>15</v>
      </c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7" t="s">
        <v>96</v>
      </c>
      <c r="BO290" s="6">
        <v>22</v>
      </c>
      <c r="BP290" s="5" t="s">
        <v>97</v>
      </c>
      <c r="BQ290" s="8">
        <v>43238</v>
      </c>
      <c r="BR290" s="5"/>
      <c r="BS290" s="9">
        <f t="shared" si="76"/>
        <v>4140.7867494824022</v>
      </c>
      <c r="BT290" s="6">
        <f t="shared" si="77"/>
        <v>17.391304347826086</v>
      </c>
      <c r="BU290" s="14">
        <v>99999999</v>
      </c>
      <c r="BV290" s="14">
        <v>99999999</v>
      </c>
      <c r="BW290" s="14">
        <v>99999999</v>
      </c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9">
        <v>0</v>
      </c>
      <c r="CM290" s="9" t="s">
        <v>379</v>
      </c>
    </row>
    <row r="291" spans="1:91" x14ac:dyDescent="0.3">
      <c r="A291" s="5" t="s">
        <v>384</v>
      </c>
      <c r="B291" s="5" t="s">
        <v>94</v>
      </c>
      <c r="C291" s="5">
        <v>5000</v>
      </c>
      <c r="D291" s="5">
        <v>5000</v>
      </c>
      <c r="E291" s="5">
        <f>D291*[1]Rentabiliteit!$V$74</f>
        <v>5000</v>
      </c>
      <c r="F291" s="5">
        <v>5000</v>
      </c>
      <c r="G291" s="6">
        <v>97</v>
      </c>
      <c r="H291" s="6">
        <v>96.5</v>
      </c>
      <c r="I291" s="6">
        <v>96.2</v>
      </c>
      <c r="J291" s="5">
        <v>2</v>
      </c>
      <c r="K291" s="5" t="s">
        <v>113</v>
      </c>
      <c r="L291" s="5">
        <v>2</v>
      </c>
      <c r="M291" s="5">
        <v>2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>
        <v>125</v>
      </c>
      <c r="AC291" s="5">
        <v>100</v>
      </c>
      <c r="AD291" s="5">
        <v>500</v>
      </c>
      <c r="AE291" s="5">
        <v>600</v>
      </c>
      <c r="AF291" s="5">
        <f t="shared" si="74"/>
        <v>0</v>
      </c>
      <c r="AG291" s="5">
        <v>15</v>
      </c>
      <c r="AH291" s="5">
        <v>15</v>
      </c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>
        <f t="shared" si="75"/>
        <v>0</v>
      </c>
      <c r="AX291" s="14">
        <v>15</v>
      </c>
      <c r="AY291" s="14">
        <v>15</v>
      </c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7" t="s">
        <v>96</v>
      </c>
      <c r="BO291" s="6">
        <v>22</v>
      </c>
      <c r="BP291" s="5" t="s">
        <v>97</v>
      </c>
      <c r="BQ291" s="8">
        <v>43238</v>
      </c>
      <c r="BR291" s="5"/>
      <c r="BS291" s="9">
        <f t="shared" si="76"/>
        <v>5197.5051975051974</v>
      </c>
      <c r="BT291" s="6">
        <f t="shared" si="77"/>
        <v>21.739130434782609</v>
      </c>
      <c r="BU291" s="14">
        <v>99999999</v>
      </c>
      <c r="BV291" s="14">
        <v>99999999</v>
      </c>
      <c r="BW291" s="14">
        <v>99999999</v>
      </c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9">
        <v>0</v>
      </c>
      <c r="CM291" s="9" t="s">
        <v>379</v>
      </c>
    </row>
    <row r="292" spans="1:91" x14ac:dyDescent="0.3">
      <c r="A292" s="5" t="s">
        <v>385</v>
      </c>
      <c r="B292" s="5" t="s">
        <v>109</v>
      </c>
      <c r="C292" s="5">
        <v>5000</v>
      </c>
      <c r="D292" s="5">
        <v>5000</v>
      </c>
      <c r="E292" s="5">
        <f>D292*[1]Rentabiliteit!$V$74</f>
        <v>5000</v>
      </c>
      <c r="F292" s="5">
        <v>5000</v>
      </c>
      <c r="G292" s="6">
        <v>98</v>
      </c>
      <c r="H292" s="6">
        <v>97.1</v>
      </c>
      <c r="I292" s="6">
        <v>98</v>
      </c>
      <c r="J292" s="5">
        <v>2</v>
      </c>
      <c r="K292" s="5" t="s">
        <v>113</v>
      </c>
      <c r="L292" s="5">
        <v>2</v>
      </c>
      <c r="M292" s="5">
        <v>2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>
        <v>188</v>
      </c>
      <c r="AC292" s="5">
        <v>150</v>
      </c>
      <c r="AD292" s="5">
        <v>800</v>
      </c>
      <c r="AE292" s="5">
        <v>1000</v>
      </c>
      <c r="AF292" s="5">
        <f t="shared" si="74"/>
        <v>0</v>
      </c>
      <c r="AG292" s="5">
        <v>11</v>
      </c>
      <c r="AH292" s="5">
        <v>10</v>
      </c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>
        <f t="shared" si="75"/>
        <v>0</v>
      </c>
      <c r="AX292" s="5">
        <v>17</v>
      </c>
      <c r="AY292" s="5">
        <v>15</v>
      </c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7" t="s">
        <v>96</v>
      </c>
      <c r="BO292" s="6">
        <v>7.3</v>
      </c>
      <c r="BP292" s="5" t="s">
        <v>97</v>
      </c>
      <c r="BQ292" s="8">
        <v>43237</v>
      </c>
      <c r="BR292" s="5"/>
      <c r="BS292" s="9">
        <f t="shared" si="76"/>
        <v>5102.0408163265311</v>
      </c>
      <c r="BT292" s="6">
        <f t="shared" ref="BT292:BT304" si="78">F292/400/SQRT(3)</f>
        <v>7.2168783648703227</v>
      </c>
      <c r="BU292" s="14">
        <v>99999999</v>
      </c>
      <c r="BV292" s="14">
        <v>99999999</v>
      </c>
      <c r="BW292" s="14">
        <v>99999999</v>
      </c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9">
        <v>0</v>
      </c>
      <c r="CM292" s="9" t="s">
        <v>98</v>
      </c>
    </row>
    <row r="293" spans="1:91" x14ac:dyDescent="0.3">
      <c r="A293" s="5" t="s">
        <v>386</v>
      </c>
      <c r="B293" s="5" t="s">
        <v>109</v>
      </c>
      <c r="C293" s="5">
        <v>6000</v>
      </c>
      <c r="D293" s="5">
        <v>6000</v>
      </c>
      <c r="E293" s="5">
        <f>D293*[1]Rentabiliteit!$V$74</f>
        <v>6000</v>
      </c>
      <c r="F293" s="5">
        <v>6000</v>
      </c>
      <c r="G293" s="6">
        <v>98</v>
      </c>
      <c r="H293" s="6">
        <v>97.4</v>
      </c>
      <c r="I293" s="6">
        <v>97.3</v>
      </c>
      <c r="J293" s="5">
        <v>2</v>
      </c>
      <c r="K293" s="5" t="s">
        <v>113</v>
      </c>
      <c r="L293" s="5">
        <v>2</v>
      </c>
      <c r="M293" s="5">
        <v>2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>
        <v>188</v>
      </c>
      <c r="AC293" s="5">
        <v>150</v>
      </c>
      <c r="AD293" s="5">
        <v>800</v>
      </c>
      <c r="AE293" s="5">
        <v>1000</v>
      </c>
      <c r="AF293" s="5">
        <f t="shared" si="74"/>
        <v>0</v>
      </c>
      <c r="AG293" s="5">
        <v>11</v>
      </c>
      <c r="AH293" s="5">
        <v>10</v>
      </c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>
        <f t="shared" si="75"/>
        <v>0</v>
      </c>
      <c r="AX293" s="5">
        <v>17</v>
      </c>
      <c r="AY293" s="5">
        <v>15</v>
      </c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7" t="s">
        <v>96</v>
      </c>
      <c r="BO293" s="6">
        <v>8.6999999999999993</v>
      </c>
      <c r="BP293" s="5" t="s">
        <v>97</v>
      </c>
      <c r="BQ293" s="8">
        <v>43238</v>
      </c>
      <c r="BR293" s="5"/>
      <c r="BS293" s="9">
        <f t="shared" si="76"/>
        <v>6166.4953751284684</v>
      </c>
      <c r="BT293" s="6">
        <f t="shared" si="78"/>
        <v>8.6602540378443873</v>
      </c>
      <c r="BU293" s="14">
        <v>99999999</v>
      </c>
      <c r="BV293" s="14">
        <v>99999999</v>
      </c>
      <c r="BW293" s="14">
        <v>99999999</v>
      </c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9">
        <v>0</v>
      </c>
      <c r="CM293" s="9" t="s">
        <v>98</v>
      </c>
    </row>
    <row r="294" spans="1:91" x14ac:dyDescent="0.3">
      <c r="A294" s="5" t="s">
        <v>387</v>
      </c>
      <c r="B294" s="5" t="s">
        <v>109</v>
      </c>
      <c r="C294" s="5">
        <v>7000</v>
      </c>
      <c r="D294" s="5">
        <v>7000</v>
      </c>
      <c r="E294" s="5">
        <f>D294*[1]Rentabiliteit!$V$74</f>
        <v>7000</v>
      </c>
      <c r="F294" s="5">
        <v>7000</v>
      </c>
      <c r="G294" s="6">
        <v>98</v>
      </c>
      <c r="H294" s="6">
        <v>97.5</v>
      </c>
      <c r="I294" s="6">
        <v>98</v>
      </c>
      <c r="J294" s="5">
        <v>2</v>
      </c>
      <c r="K294" s="5" t="s">
        <v>113</v>
      </c>
      <c r="L294" s="5">
        <v>2</v>
      </c>
      <c r="M294" s="5">
        <v>2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>
        <v>188</v>
      </c>
      <c r="AC294" s="5">
        <v>150</v>
      </c>
      <c r="AD294" s="5">
        <v>800</v>
      </c>
      <c r="AE294" s="5">
        <v>1000</v>
      </c>
      <c r="AF294" s="5">
        <f t="shared" si="74"/>
        <v>0</v>
      </c>
      <c r="AG294" s="5">
        <v>15</v>
      </c>
      <c r="AH294" s="5">
        <v>10</v>
      </c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>
        <f t="shared" si="75"/>
        <v>0</v>
      </c>
      <c r="AX294" s="5">
        <v>25</v>
      </c>
      <c r="AY294" s="5">
        <v>15</v>
      </c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7" t="s">
        <v>96</v>
      </c>
      <c r="BO294" s="6">
        <v>10.199999999999999</v>
      </c>
      <c r="BP294" s="5" t="s">
        <v>97</v>
      </c>
      <c r="BQ294" s="8">
        <v>43238</v>
      </c>
      <c r="BR294" s="5"/>
      <c r="BS294" s="9">
        <f t="shared" si="76"/>
        <v>7142.8571428571431</v>
      </c>
      <c r="BT294" s="6">
        <f t="shared" si="78"/>
        <v>10.103629710818451</v>
      </c>
      <c r="BU294" s="14">
        <v>99999999</v>
      </c>
      <c r="BV294" s="14">
        <v>99999999</v>
      </c>
      <c r="BW294" s="14">
        <v>99999999</v>
      </c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9">
        <v>0</v>
      </c>
      <c r="CM294" s="9" t="s">
        <v>98</v>
      </c>
    </row>
    <row r="295" spans="1:91" x14ac:dyDescent="0.3">
      <c r="A295" s="5" t="s">
        <v>388</v>
      </c>
      <c r="B295" s="5" t="s">
        <v>109</v>
      </c>
      <c r="C295" s="5">
        <v>8000</v>
      </c>
      <c r="D295" s="5">
        <v>8000</v>
      </c>
      <c r="E295" s="5">
        <f>D295*[1]Rentabiliteit!$V$74</f>
        <v>8000</v>
      </c>
      <c r="F295" s="5">
        <v>8000</v>
      </c>
      <c r="G295" s="6">
        <v>98</v>
      </c>
      <c r="H295" s="6">
        <v>97.6</v>
      </c>
      <c r="I295" s="6">
        <v>97.6</v>
      </c>
      <c r="J295" s="5">
        <v>2</v>
      </c>
      <c r="K295" s="5" t="s">
        <v>113</v>
      </c>
      <c r="L295" s="5">
        <v>2</v>
      </c>
      <c r="M295" s="5">
        <v>2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>
        <v>188</v>
      </c>
      <c r="AC295" s="5">
        <v>150</v>
      </c>
      <c r="AD295" s="5">
        <v>800</v>
      </c>
      <c r="AE295" s="5">
        <v>1000</v>
      </c>
      <c r="AF295" s="5">
        <f t="shared" si="74"/>
        <v>0</v>
      </c>
      <c r="AG295" s="5">
        <v>15</v>
      </c>
      <c r="AH295" s="5">
        <v>10</v>
      </c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>
        <f t="shared" si="75"/>
        <v>0</v>
      </c>
      <c r="AX295" s="5">
        <v>25</v>
      </c>
      <c r="AY295" s="5">
        <v>15</v>
      </c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7" t="s">
        <v>96</v>
      </c>
      <c r="BO295" s="6">
        <v>11.6</v>
      </c>
      <c r="BP295" s="5" t="s">
        <v>97</v>
      </c>
      <c r="BQ295" s="8">
        <v>43238</v>
      </c>
      <c r="BR295" s="5"/>
      <c r="BS295" s="9">
        <f t="shared" si="76"/>
        <v>8196.7213114754104</v>
      </c>
      <c r="BT295" s="6">
        <f t="shared" si="78"/>
        <v>11.547005383792516</v>
      </c>
      <c r="BU295" s="14">
        <v>99999999</v>
      </c>
      <c r="BV295" s="14">
        <v>99999999</v>
      </c>
      <c r="BW295" s="14">
        <v>99999999</v>
      </c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9">
        <v>0</v>
      </c>
      <c r="CM295" s="9" t="s">
        <v>98</v>
      </c>
    </row>
    <row r="296" spans="1:91" x14ac:dyDescent="0.3">
      <c r="A296" s="5" t="s">
        <v>389</v>
      </c>
      <c r="B296" s="5" t="s">
        <v>109</v>
      </c>
      <c r="C296" s="5">
        <v>9000</v>
      </c>
      <c r="D296" s="5">
        <v>9000</v>
      </c>
      <c r="E296" s="5">
        <f>D296*[1]Rentabiliteit!$V$74</f>
        <v>9000</v>
      </c>
      <c r="F296" s="5">
        <v>9000</v>
      </c>
      <c r="G296" s="6">
        <v>98</v>
      </c>
      <c r="H296" s="6">
        <v>97.6</v>
      </c>
      <c r="I296" s="6">
        <v>97.2</v>
      </c>
      <c r="J296" s="5">
        <v>2</v>
      </c>
      <c r="K296" s="5" t="s">
        <v>113</v>
      </c>
      <c r="L296" s="5">
        <v>2</v>
      </c>
      <c r="M296" s="5">
        <v>2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>
        <v>188</v>
      </c>
      <c r="AC296" s="5">
        <v>150</v>
      </c>
      <c r="AD296" s="5">
        <v>800</v>
      </c>
      <c r="AE296" s="5">
        <v>1000</v>
      </c>
      <c r="AF296" s="5">
        <f t="shared" si="74"/>
        <v>0</v>
      </c>
      <c r="AG296" s="5">
        <v>15</v>
      </c>
      <c r="AH296" s="5">
        <v>10</v>
      </c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>
        <f t="shared" si="75"/>
        <v>0</v>
      </c>
      <c r="AX296" s="5">
        <v>25</v>
      </c>
      <c r="AY296" s="5">
        <v>15</v>
      </c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7" t="s">
        <v>96</v>
      </c>
      <c r="BO296" s="6">
        <v>13.1</v>
      </c>
      <c r="BP296" s="5" t="s">
        <v>97</v>
      </c>
      <c r="BQ296" s="8">
        <v>43238</v>
      </c>
      <c r="BR296" s="5"/>
      <c r="BS296" s="9">
        <f t="shared" si="76"/>
        <v>9259.2592592592591</v>
      </c>
      <c r="BT296" s="6">
        <f t="shared" si="78"/>
        <v>12.99038105676658</v>
      </c>
      <c r="BU296" s="14">
        <v>99999999</v>
      </c>
      <c r="BV296" s="14">
        <v>99999999</v>
      </c>
      <c r="BW296" s="14">
        <v>99999999</v>
      </c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9">
        <v>0</v>
      </c>
      <c r="CM296" s="9" t="s">
        <v>98</v>
      </c>
    </row>
    <row r="297" spans="1:91" x14ac:dyDescent="0.3">
      <c r="A297" s="5" t="s">
        <v>390</v>
      </c>
      <c r="B297" s="5" t="s">
        <v>109</v>
      </c>
      <c r="C297" s="5">
        <v>10000</v>
      </c>
      <c r="D297" s="5">
        <v>10000</v>
      </c>
      <c r="E297" s="5">
        <f>D297*[1]Rentabiliteit!$V$74</f>
        <v>10000</v>
      </c>
      <c r="F297" s="5">
        <v>10000</v>
      </c>
      <c r="G297" s="6">
        <v>98</v>
      </c>
      <c r="H297" s="6">
        <v>97.6</v>
      </c>
      <c r="I297" s="6">
        <v>97.3</v>
      </c>
      <c r="J297" s="5">
        <v>2</v>
      </c>
      <c r="K297" s="5" t="s">
        <v>113</v>
      </c>
      <c r="L297" s="5">
        <v>2</v>
      </c>
      <c r="M297" s="5">
        <v>2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>
        <v>188</v>
      </c>
      <c r="AC297" s="5">
        <v>150</v>
      </c>
      <c r="AD297" s="5">
        <v>800</v>
      </c>
      <c r="AE297" s="5">
        <v>1000</v>
      </c>
      <c r="AF297" s="5">
        <f t="shared" si="74"/>
        <v>0</v>
      </c>
      <c r="AG297" s="5">
        <v>18</v>
      </c>
      <c r="AH297" s="5">
        <v>10</v>
      </c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>
        <f t="shared" si="75"/>
        <v>0</v>
      </c>
      <c r="AX297" s="5">
        <v>25</v>
      </c>
      <c r="AY297" s="5">
        <v>15</v>
      </c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7" t="s">
        <v>96</v>
      </c>
      <c r="BO297" s="6">
        <v>14.5</v>
      </c>
      <c r="BP297" s="5" t="s">
        <v>97</v>
      </c>
      <c r="BQ297" s="8">
        <v>43238</v>
      </c>
      <c r="BR297" s="5"/>
      <c r="BS297" s="9">
        <f t="shared" si="76"/>
        <v>10277.492291880781</v>
      </c>
      <c r="BT297" s="6">
        <f t="shared" si="78"/>
        <v>14.433756729740645</v>
      </c>
      <c r="BU297" s="14">
        <v>99999999</v>
      </c>
      <c r="BV297" s="14">
        <v>99999999</v>
      </c>
      <c r="BW297" s="14">
        <v>99999999</v>
      </c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9">
        <v>0</v>
      </c>
      <c r="CM297" s="9" t="s">
        <v>98</v>
      </c>
    </row>
    <row r="298" spans="1:91" x14ac:dyDescent="0.3">
      <c r="A298" s="5" t="s">
        <v>391</v>
      </c>
      <c r="B298" s="5" t="s">
        <v>94</v>
      </c>
      <c r="C298" s="5">
        <v>10000</v>
      </c>
      <c r="D298" s="5">
        <v>10000</v>
      </c>
      <c r="E298" s="5">
        <f>D298*[1]Rentabiliteit!$V$74</f>
        <v>10000</v>
      </c>
      <c r="F298" s="5">
        <v>10000</v>
      </c>
      <c r="G298" s="6">
        <v>98</v>
      </c>
      <c r="H298" s="6">
        <v>97.5</v>
      </c>
      <c r="I298" s="13">
        <v>97.3</v>
      </c>
      <c r="J298" s="5">
        <v>1</v>
      </c>
      <c r="K298" s="5" t="s">
        <v>113</v>
      </c>
      <c r="L298" s="5">
        <v>5</v>
      </c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>
        <v>400</v>
      </c>
      <c r="AC298" s="5">
        <v>333</v>
      </c>
      <c r="AD298" s="5">
        <v>500</v>
      </c>
      <c r="AE298" s="5">
        <v>700</v>
      </c>
      <c r="AF298" s="5">
        <f t="shared" si="74"/>
        <v>0</v>
      </c>
      <c r="AG298" s="5">
        <v>31</v>
      </c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>
        <f t="shared" ref="AW298" si="79">IF(OR($K298=1,$L298="Yes"),SUM(AX298:BM298),0)</f>
        <v>0</v>
      </c>
      <c r="AX298" s="5">
        <v>31</v>
      </c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7" t="s">
        <v>96</v>
      </c>
      <c r="BO298" s="6">
        <v>44</v>
      </c>
      <c r="BP298" s="5" t="s">
        <v>171</v>
      </c>
      <c r="BQ298" s="8">
        <v>44872</v>
      </c>
      <c r="BR298" s="5"/>
      <c r="BS298" s="9">
        <f t="shared" si="76"/>
        <v>10277.492291880781</v>
      </c>
      <c r="BT298" s="6">
        <f>F298/230</f>
        <v>43.478260869565219</v>
      </c>
      <c r="BU298" s="14">
        <v>99999999</v>
      </c>
      <c r="BV298" s="14">
        <v>99999999</v>
      </c>
      <c r="BW298" s="14">
        <v>99999999</v>
      </c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9">
        <v>0</v>
      </c>
      <c r="CM298" s="9" t="s">
        <v>98</v>
      </c>
    </row>
    <row r="299" spans="1:91" x14ac:dyDescent="0.3">
      <c r="A299" s="5" t="s">
        <v>392</v>
      </c>
      <c r="B299" s="5" t="s">
        <v>109</v>
      </c>
      <c r="C299" s="5">
        <v>12000</v>
      </c>
      <c r="D299" s="5">
        <v>12000</v>
      </c>
      <c r="E299" s="5">
        <f>D299*[1]Rentabiliteit!$V$74</f>
        <v>12000</v>
      </c>
      <c r="F299" s="5">
        <v>12000</v>
      </c>
      <c r="G299" s="6">
        <v>98.3</v>
      </c>
      <c r="H299" s="6">
        <v>97.9</v>
      </c>
      <c r="I299" s="6">
        <v>97.4</v>
      </c>
      <c r="J299" s="5">
        <v>2</v>
      </c>
      <c r="K299" s="5" t="s">
        <v>113</v>
      </c>
      <c r="L299" s="5">
        <v>2</v>
      </c>
      <c r="M299" s="5">
        <v>2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>
        <v>188</v>
      </c>
      <c r="AC299" s="5">
        <v>150</v>
      </c>
      <c r="AD299" s="5">
        <v>800</v>
      </c>
      <c r="AE299" s="5">
        <v>1000</v>
      </c>
      <c r="AF299" s="5">
        <f t="shared" si="74"/>
        <v>0</v>
      </c>
      <c r="AG299" s="5">
        <v>18</v>
      </c>
      <c r="AH299" s="5">
        <v>10</v>
      </c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>
        <f t="shared" si="75"/>
        <v>0</v>
      </c>
      <c r="AX299" s="5">
        <v>25</v>
      </c>
      <c r="AY299" s="5">
        <v>15</v>
      </c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7" t="s">
        <v>96</v>
      </c>
      <c r="BO299" s="6">
        <v>17.399999999999999</v>
      </c>
      <c r="BP299" s="5" t="s">
        <v>97</v>
      </c>
      <c r="BQ299" s="8">
        <v>43238</v>
      </c>
      <c r="BR299" s="5"/>
      <c r="BS299" s="9">
        <f t="shared" si="76"/>
        <v>12320.328542094454</v>
      </c>
      <c r="BT299" s="6">
        <f t="shared" si="78"/>
        <v>17.320508075688775</v>
      </c>
      <c r="BU299" s="14">
        <v>99999999</v>
      </c>
      <c r="BV299" s="14">
        <v>99999999</v>
      </c>
      <c r="BW299" s="14">
        <v>99999999</v>
      </c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9">
        <v>0</v>
      </c>
      <c r="CM299" s="9" t="s">
        <v>98</v>
      </c>
    </row>
    <row r="300" spans="1:91" x14ac:dyDescent="0.3">
      <c r="A300" s="5" t="s">
        <v>393</v>
      </c>
      <c r="B300" s="5" t="s">
        <v>109</v>
      </c>
      <c r="C300" s="5">
        <v>15000</v>
      </c>
      <c r="D300" s="5">
        <v>15000</v>
      </c>
      <c r="E300" s="5">
        <f>D300*[1]Rentabiliteit!$V$74</f>
        <v>15000</v>
      </c>
      <c r="F300" s="5">
        <v>15000</v>
      </c>
      <c r="G300" s="6">
        <v>98.4</v>
      </c>
      <c r="H300" s="6">
        <v>98</v>
      </c>
      <c r="I300" s="6">
        <v>98.3</v>
      </c>
      <c r="J300" s="5">
        <v>2</v>
      </c>
      <c r="K300" s="5" t="s">
        <v>113</v>
      </c>
      <c r="L300" s="5">
        <v>3</v>
      </c>
      <c r="M300" s="5">
        <v>3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>
        <v>188</v>
      </c>
      <c r="AC300" s="5">
        <v>150</v>
      </c>
      <c r="AD300" s="5">
        <v>800</v>
      </c>
      <c r="AE300" s="5">
        <v>1000</v>
      </c>
      <c r="AF300" s="5">
        <f t="shared" si="74"/>
        <v>0</v>
      </c>
      <c r="AG300" s="5">
        <v>33</v>
      </c>
      <c r="AH300" s="5">
        <v>33</v>
      </c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>
        <f t="shared" si="75"/>
        <v>0</v>
      </c>
      <c r="AX300" s="14">
        <v>43</v>
      </c>
      <c r="AY300" s="14">
        <v>43</v>
      </c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7" t="s">
        <v>96</v>
      </c>
      <c r="BO300" s="6">
        <v>29</v>
      </c>
      <c r="BP300" s="5" t="s">
        <v>97</v>
      </c>
      <c r="BQ300" s="8">
        <v>43238</v>
      </c>
      <c r="BR300" s="5"/>
      <c r="BS300" s="9">
        <f t="shared" si="76"/>
        <v>15259.409969481181</v>
      </c>
      <c r="BT300" s="6">
        <f t="shared" si="78"/>
        <v>21.650635094610969</v>
      </c>
      <c r="BU300" s="14">
        <v>99999999</v>
      </c>
      <c r="BV300" s="14">
        <v>99999999</v>
      </c>
      <c r="BW300" s="14">
        <v>99999999</v>
      </c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9">
        <v>0</v>
      </c>
      <c r="CM300" s="9" t="s">
        <v>265</v>
      </c>
    </row>
    <row r="301" spans="1:91" x14ac:dyDescent="0.3">
      <c r="A301" s="5" t="s">
        <v>394</v>
      </c>
      <c r="B301" s="5" t="s">
        <v>109</v>
      </c>
      <c r="C301" s="5">
        <v>20000</v>
      </c>
      <c r="D301" s="5">
        <v>20000</v>
      </c>
      <c r="E301" s="5">
        <f>D301*[1]Rentabiliteit!$V$74</f>
        <v>20000</v>
      </c>
      <c r="F301" s="5">
        <v>20000</v>
      </c>
      <c r="G301" s="6">
        <v>98.4</v>
      </c>
      <c r="H301" s="6">
        <v>98</v>
      </c>
      <c r="I301" s="6">
        <v>97.7</v>
      </c>
      <c r="J301" s="5">
        <v>2</v>
      </c>
      <c r="K301" s="5" t="s">
        <v>113</v>
      </c>
      <c r="L301" s="5">
        <v>3</v>
      </c>
      <c r="M301" s="5">
        <v>3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>
        <v>188</v>
      </c>
      <c r="AC301" s="5">
        <v>150</v>
      </c>
      <c r="AD301" s="5">
        <v>800</v>
      </c>
      <c r="AE301" s="5">
        <v>1000</v>
      </c>
      <c r="AF301" s="5">
        <f t="shared" si="74"/>
        <v>0</v>
      </c>
      <c r="AG301" s="5">
        <v>33</v>
      </c>
      <c r="AH301" s="5">
        <v>33</v>
      </c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>
        <f t="shared" si="75"/>
        <v>0</v>
      </c>
      <c r="AX301" s="14">
        <v>43</v>
      </c>
      <c r="AY301" s="14">
        <v>43</v>
      </c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7" t="s">
        <v>96</v>
      </c>
      <c r="BO301" s="6">
        <v>29</v>
      </c>
      <c r="BP301" s="5" t="s">
        <v>97</v>
      </c>
      <c r="BQ301" s="8">
        <v>43238</v>
      </c>
      <c r="BR301" s="5"/>
      <c r="BS301" s="9">
        <f t="shared" si="76"/>
        <v>20470.829068577277</v>
      </c>
      <c r="BT301" s="6">
        <f t="shared" si="78"/>
        <v>28.867513459481291</v>
      </c>
      <c r="BU301" s="14">
        <v>99999999</v>
      </c>
      <c r="BV301" s="14">
        <v>99999999</v>
      </c>
      <c r="BW301" s="14">
        <v>99999999</v>
      </c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9">
        <v>0</v>
      </c>
      <c r="CM301" s="9" t="s">
        <v>265</v>
      </c>
    </row>
    <row r="302" spans="1:91" x14ac:dyDescent="0.3">
      <c r="A302" s="5" t="s">
        <v>395</v>
      </c>
      <c r="B302" s="5" t="s">
        <v>109</v>
      </c>
      <c r="C302" s="5">
        <v>25000</v>
      </c>
      <c r="D302" s="5">
        <v>25000</v>
      </c>
      <c r="E302" s="5">
        <f>D302*[1]Rentabiliteit!$V$74</f>
        <v>25000</v>
      </c>
      <c r="F302" s="5">
        <v>25000</v>
      </c>
      <c r="G302" s="6">
        <v>98.3</v>
      </c>
      <c r="H302" s="6">
        <v>98.1</v>
      </c>
      <c r="I302" s="6">
        <v>97.9</v>
      </c>
      <c r="J302" s="5">
        <v>2</v>
      </c>
      <c r="K302" s="5" t="s">
        <v>113</v>
      </c>
      <c r="L302" s="5">
        <v>3</v>
      </c>
      <c r="M302" s="5">
        <v>3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>
        <v>188</v>
      </c>
      <c r="AC302" s="5">
        <v>150</v>
      </c>
      <c r="AD302" s="5">
        <v>800</v>
      </c>
      <c r="AE302" s="5">
        <v>1000</v>
      </c>
      <c r="AF302" s="5">
        <f t="shared" si="74"/>
        <v>0</v>
      </c>
      <c r="AG302" s="5">
        <v>33</v>
      </c>
      <c r="AH302" s="5">
        <v>33</v>
      </c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>
        <f t="shared" si="75"/>
        <v>0</v>
      </c>
      <c r="AX302" s="14">
        <v>43</v>
      </c>
      <c r="AY302" s="14">
        <v>43</v>
      </c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7" t="s">
        <v>96</v>
      </c>
      <c r="BO302" s="6">
        <v>36.200000000000003</v>
      </c>
      <c r="BP302" s="5" t="s">
        <v>97</v>
      </c>
      <c r="BQ302" s="8">
        <v>43238</v>
      </c>
      <c r="BR302" s="5"/>
      <c r="BS302" s="9">
        <f t="shared" si="76"/>
        <v>25536.261491317669</v>
      </c>
      <c r="BT302" s="6">
        <f t="shared" si="78"/>
        <v>36.084391824351613</v>
      </c>
      <c r="BU302" s="14">
        <v>99999999</v>
      </c>
      <c r="BV302" s="14">
        <v>99999999</v>
      </c>
      <c r="BW302" s="14">
        <v>99999999</v>
      </c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9">
        <v>0</v>
      </c>
      <c r="CM302" s="9" t="s">
        <v>265</v>
      </c>
    </row>
    <row r="303" spans="1:91" x14ac:dyDescent="0.3">
      <c r="A303" s="5" t="s">
        <v>396</v>
      </c>
      <c r="B303" s="5" t="s">
        <v>109</v>
      </c>
      <c r="C303" s="5">
        <v>60000</v>
      </c>
      <c r="D303" s="5">
        <v>60000</v>
      </c>
      <c r="E303" s="5">
        <f>D303*[1]Rentabiliteit!$V$74</f>
        <v>60000</v>
      </c>
      <c r="F303" s="5">
        <v>60000</v>
      </c>
      <c r="G303" s="6">
        <v>98.8</v>
      </c>
      <c r="H303" s="6">
        <v>98.3</v>
      </c>
      <c r="I303" s="6">
        <v>98</v>
      </c>
      <c r="J303" s="5">
        <v>1</v>
      </c>
      <c r="K303" s="5" t="s">
        <v>95</v>
      </c>
      <c r="L303" s="5">
        <v>999999</v>
      </c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>
        <v>600</v>
      </c>
      <c r="AC303" s="5">
        <v>570</v>
      </c>
      <c r="AD303" s="5">
        <v>800</v>
      </c>
      <c r="AE303" s="5">
        <v>1000</v>
      </c>
      <c r="AF303" s="5">
        <f t="shared" si="74"/>
        <v>0</v>
      </c>
      <c r="AG303" s="5">
        <v>110</v>
      </c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>
        <f t="shared" si="75"/>
        <v>0</v>
      </c>
      <c r="AX303" s="5">
        <v>150</v>
      </c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7" t="s">
        <v>96</v>
      </c>
      <c r="BO303" s="6">
        <v>87</v>
      </c>
      <c r="BP303" s="5" t="s">
        <v>174</v>
      </c>
      <c r="BQ303" s="8">
        <v>43542</v>
      </c>
      <c r="BR303" s="5"/>
      <c r="BS303" s="9">
        <f t="shared" si="76"/>
        <v>61224.489795918365</v>
      </c>
      <c r="BT303" s="6">
        <f t="shared" si="78"/>
        <v>86.602540378443877</v>
      </c>
      <c r="BU303" s="14">
        <v>99999999</v>
      </c>
      <c r="BV303" s="14">
        <v>99999999</v>
      </c>
      <c r="BW303" s="14">
        <v>99999999</v>
      </c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9">
        <v>0</v>
      </c>
      <c r="CM303" s="9" t="s">
        <v>265</v>
      </c>
    </row>
    <row r="304" spans="1:91" x14ac:dyDescent="0.3">
      <c r="A304" s="5" t="s">
        <v>397</v>
      </c>
      <c r="B304" s="5" t="s">
        <v>109</v>
      </c>
      <c r="C304" s="5">
        <v>75000</v>
      </c>
      <c r="D304" s="5">
        <v>75000</v>
      </c>
      <c r="E304" s="5">
        <f>D304*[1]Rentabiliteit!$V$74</f>
        <v>75000</v>
      </c>
      <c r="F304" s="5">
        <v>75000</v>
      </c>
      <c r="G304" s="6">
        <v>98.8</v>
      </c>
      <c r="H304" s="6">
        <v>98.2</v>
      </c>
      <c r="I304" s="6">
        <v>97.8</v>
      </c>
      <c r="J304" s="5">
        <v>1</v>
      </c>
      <c r="K304" s="5" t="s">
        <v>95</v>
      </c>
      <c r="L304" s="5">
        <v>999999</v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>
        <v>600</v>
      </c>
      <c r="AC304" s="5">
        <v>570</v>
      </c>
      <c r="AD304" s="5">
        <v>800</v>
      </c>
      <c r="AE304" s="5">
        <v>1000</v>
      </c>
      <c r="AF304" s="5">
        <f t="shared" si="74"/>
        <v>0</v>
      </c>
      <c r="AG304" s="5">
        <v>140</v>
      </c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>
        <f t="shared" si="75"/>
        <v>0</v>
      </c>
      <c r="AX304" s="5">
        <v>210</v>
      </c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7" t="s">
        <v>96</v>
      </c>
      <c r="BO304" s="6">
        <v>109</v>
      </c>
      <c r="BP304" s="5" t="s">
        <v>97</v>
      </c>
      <c r="BQ304" s="8">
        <v>43238</v>
      </c>
      <c r="BR304" s="5"/>
      <c r="BS304" s="9">
        <f t="shared" si="76"/>
        <v>76687.116564417185</v>
      </c>
      <c r="BT304" s="6">
        <f t="shared" si="78"/>
        <v>108.25317547305484</v>
      </c>
      <c r="BU304" s="14">
        <v>99999999</v>
      </c>
      <c r="BV304" s="14">
        <v>99999999</v>
      </c>
      <c r="BW304" s="14">
        <v>99999999</v>
      </c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9">
        <v>0</v>
      </c>
      <c r="CM304" s="9" t="s">
        <v>265</v>
      </c>
    </row>
    <row r="305" spans="1:91" ht="15.6" x14ac:dyDescent="0.3">
      <c r="A305" s="5" t="s">
        <v>398</v>
      </c>
      <c r="B305" s="22" t="s">
        <v>197</v>
      </c>
      <c r="C305" s="5">
        <v>2750000</v>
      </c>
      <c r="D305" s="5">
        <v>2750000</v>
      </c>
      <c r="E305" s="5">
        <f>D305*[1]Rentabiliteit!$V$74</f>
        <v>2750000</v>
      </c>
      <c r="F305" s="5">
        <v>2750000</v>
      </c>
      <c r="G305" s="6">
        <v>98.7</v>
      </c>
      <c r="H305" s="6">
        <v>98.6</v>
      </c>
      <c r="I305" s="6"/>
      <c r="J305" s="5">
        <v>1</v>
      </c>
      <c r="K305" s="5" t="s">
        <v>95</v>
      </c>
      <c r="L305" s="5">
        <v>999999</v>
      </c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>
        <v>999</v>
      </c>
      <c r="AC305" s="5">
        <v>875</v>
      </c>
      <c r="AD305" s="5">
        <v>1425</v>
      </c>
      <c r="AE305" s="5">
        <v>1500</v>
      </c>
      <c r="AF305" s="5">
        <f t="shared" si="74"/>
        <v>0</v>
      </c>
      <c r="AG305" s="5">
        <v>3300</v>
      </c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>
        <f t="shared" si="75"/>
        <v>0</v>
      </c>
      <c r="AX305" s="5">
        <v>6400</v>
      </c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7" t="s">
        <v>96</v>
      </c>
      <c r="BO305" s="6">
        <v>2646</v>
      </c>
      <c r="BP305" s="5" t="s">
        <v>97</v>
      </c>
      <c r="BQ305" s="8">
        <v>43238</v>
      </c>
      <c r="BR305" s="5"/>
      <c r="BS305" s="9">
        <f t="shared" si="76"/>
        <v>2786220.8713272545</v>
      </c>
      <c r="BT305" s="6">
        <f>F305/600/SQRT(3)</f>
        <v>2646.1887337857847</v>
      </c>
      <c r="BU305" s="14">
        <v>99999999</v>
      </c>
      <c r="BV305" s="14">
        <v>99999999</v>
      </c>
      <c r="BW305" s="14">
        <v>99999999</v>
      </c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9">
        <v>0</v>
      </c>
      <c r="CM305" s="9" t="s">
        <v>399</v>
      </c>
    </row>
    <row r="306" spans="1:91" x14ac:dyDescent="0.3">
      <c r="A306" s="5" t="s">
        <v>122</v>
      </c>
      <c r="B306" s="5"/>
      <c r="C306" s="5"/>
      <c r="D306" s="5"/>
      <c r="E306" s="5"/>
      <c r="F306" s="5"/>
      <c r="G306" s="6"/>
      <c r="H306" s="6"/>
      <c r="I306" s="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7"/>
      <c r="BO306" s="6"/>
      <c r="BP306" s="5"/>
      <c r="BQ306" s="8"/>
      <c r="BR306" s="5"/>
      <c r="BS306" s="9">
        <v>9999999</v>
      </c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9"/>
      <c r="CM306" s="9"/>
    </row>
    <row r="307" spans="1:91" x14ac:dyDescent="0.3">
      <c r="A307" s="11"/>
      <c r="B307" s="11"/>
      <c r="C307" s="11"/>
      <c r="D307" s="11"/>
      <c r="E307" s="11"/>
      <c r="F307" s="11"/>
      <c r="G307" s="3"/>
      <c r="H307" s="3"/>
      <c r="I307" s="3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52"/>
      <c r="BO307" s="3"/>
      <c r="BP307" s="11"/>
      <c r="BQ307" s="43"/>
      <c r="BR307" s="11"/>
      <c r="BS307" s="12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12"/>
      <c r="CM307" s="12"/>
    </row>
    <row r="308" spans="1:91" ht="15.6" x14ac:dyDescent="0.3">
      <c r="A308" s="1" t="s">
        <v>400</v>
      </c>
      <c r="B308" s="11"/>
      <c r="C308" s="11"/>
      <c r="D308" s="11"/>
      <c r="E308" s="11"/>
      <c r="F308" s="11"/>
      <c r="G308" s="3"/>
      <c r="H308" s="3"/>
      <c r="I308" s="3"/>
      <c r="J308" s="11"/>
      <c r="K308" s="2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52"/>
      <c r="BO308" s="3"/>
      <c r="BP308" s="11"/>
      <c r="BQ308" s="43"/>
      <c r="BR308" s="11"/>
      <c r="BS308" s="12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12"/>
      <c r="CM308" s="3"/>
    </row>
    <row r="309" spans="1:91" x14ac:dyDescent="0.3">
      <c r="A309" s="5" t="s">
        <v>1</v>
      </c>
      <c r="B309" s="5" t="s">
        <v>2</v>
      </c>
      <c r="C309" s="5" t="s">
        <v>3</v>
      </c>
      <c r="D309" s="5" t="s">
        <v>4</v>
      </c>
      <c r="E309" s="5" t="s">
        <v>5</v>
      </c>
      <c r="F309" s="5" t="s">
        <v>6</v>
      </c>
      <c r="G309" s="5" t="s">
        <v>7</v>
      </c>
      <c r="H309" s="5" t="s">
        <v>8</v>
      </c>
      <c r="I309" s="5" t="s">
        <v>9</v>
      </c>
      <c r="J309" s="5" t="s">
        <v>10</v>
      </c>
      <c r="K309" s="5" t="s">
        <v>11</v>
      </c>
      <c r="L309" s="5" t="s">
        <v>12</v>
      </c>
      <c r="M309" s="5" t="s">
        <v>13</v>
      </c>
      <c r="N309" s="5" t="s">
        <v>14</v>
      </c>
      <c r="O309" s="5" t="s">
        <v>15</v>
      </c>
      <c r="P309" s="5" t="s">
        <v>16</v>
      </c>
      <c r="Q309" s="5" t="s">
        <v>17</v>
      </c>
      <c r="R309" s="5" t="s">
        <v>18</v>
      </c>
      <c r="S309" s="5" t="s">
        <v>19</v>
      </c>
      <c r="T309" s="5" t="s">
        <v>20</v>
      </c>
      <c r="U309" s="5" t="s">
        <v>21</v>
      </c>
      <c r="V309" s="5" t="s">
        <v>22</v>
      </c>
      <c r="W309" s="5" t="s">
        <v>23</v>
      </c>
      <c r="X309" s="5" t="s">
        <v>24</v>
      </c>
      <c r="Y309" s="5" t="s">
        <v>25</v>
      </c>
      <c r="Z309" s="5" t="s">
        <v>26</v>
      </c>
      <c r="AA309" s="5" t="s">
        <v>27</v>
      </c>
      <c r="AB309" s="5" t="s">
        <v>28</v>
      </c>
      <c r="AC309" s="5" t="s">
        <v>29</v>
      </c>
      <c r="AD309" s="5" t="s">
        <v>30</v>
      </c>
      <c r="AE309" s="5" t="s">
        <v>31</v>
      </c>
      <c r="AF309" s="5" t="s">
        <v>32</v>
      </c>
      <c r="AG309" s="5" t="s">
        <v>33</v>
      </c>
      <c r="AH309" s="5" t="s">
        <v>34</v>
      </c>
      <c r="AI309" s="5" t="s">
        <v>35</v>
      </c>
      <c r="AJ309" s="5" t="s">
        <v>36</v>
      </c>
      <c r="AK309" s="5" t="s">
        <v>37</v>
      </c>
      <c r="AL309" s="5" t="s">
        <v>38</v>
      </c>
      <c r="AM309" s="5" t="s">
        <v>39</v>
      </c>
      <c r="AN309" s="5" t="s">
        <v>40</v>
      </c>
      <c r="AO309" s="5" t="s">
        <v>41</v>
      </c>
      <c r="AP309" s="5" t="s">
        <v>42</v>
      </c>
      <c r="AQ309" s="5" t="s">
        <v>43</v>
      </c>
      <c r="AR309" s="5" t="s">
        <v>44</v>
      </c>
      <c r="AS309" s="5" t="s">
        <v>45</v>
      </c>
      <c r="AT309" s="5" t="s">
        <v>46</v>
      </c>
      <c r="AU309" s="5" t="s">
        <v>47</v>
      </c>
      <c r="AV309" s="5" t="s">
        <v>48</v>
      </c>
      <c r="AW309" s="5" t="s">
        <v>49</v>
      </c>
      <c r="AX309" s="5" t="s">
        <v>50</v>
      </c>
      <c r="AY309" s="5" t="s">
        <v>51</v>
      </c>
      <c r="AZ309" s="5" t="s">
        <v>52</v>
      </c>
      <c r="BA309" s="5" t="s">
        <v>53</v>
      </c>
      <c r="BB309" s="5" t="s">
        <v>54</v>
      </c>
      <c r="BC309" s="5" t="s">
        <v>55</v>
      </c>
      <c r="BD309" s="5" t="s">
        <v>56</v>
      </c>
      <c r="BE309" s="5" t="s">
        <v>57</v>
      </c>
      <c r="BF309" s="5" t="s">
        <v>58</v>
      </c>
      <c r="BG309" s="5" t="s">
        <v>59</v>
      </c>
      <c r="BH309" s="5" t="s">
        <v>60</v>
      </c>
      <c r="BI309" s="5" t="s">
        <v>61</v>
      </c>
      <c r="BJ309" s="5" t="s">
        <v>62</v>
      </c>
      <c r="BK309" s="5" t="s">
        <v>63</v>
      </c>
      <c r="BL309" s="5" t="s">
        <v>64</v>
      </c>
      <c r="BM309" s="5" t="s">
        <v>65</v>
      </c>
      <c r="BN309" s="5" t="s">
        <v>66</v>
      </c>
      <c r="BO309" s="5" t="s">
        <v>67</v>
      </c>
      <c r="BP309" s="5" t="s">
        <v>68</v>
      </c>
      <c r="BQ309" s="5" t="s">
        <v>69</v>
      </c>
      <c r="BR309" s="5" t="s">
        <v>70</v>
      </c>
      <c r="BS309" s="5" t="s">
        <v>71</v>
      </c>
      <c r="BT309" s="5" t="s">
        <v>72</v>
      </c>
      <c r="BU309" s="5" t="s">
        <v>73</v>
      </c>
      <c r="BV309" s="5" t="s">
        <v>74</v>
      </c>
      <c r="BW309" s="5" t="s">
        <v>75</v>
      </c>
      <c r="BX309" s="5" t="s">
        <v>76</v>
      </c>
      <c r="BY309" s="5" t="s">
        <v>77</v>
      </c>
      <c r="BZ309" s="5" t="s">
        <v>78</v>
      </c>
      <c r="CA309" s="5" t="s">
        <v>79</v>
      </c>
      <c r="CB309" s="5" t="s">
        <v>80</v>
      </c>
      <c r="CC309" s="5" t="s">
        <v>81</v>
      </c>
      <c r="CD309" s="5" t="s">
        <v>82</v>
      </c>
      <c r="CE309" s="5" t="s">
        <v>83</v>
      </c>
      <c r="CF309" s="5" t="s">
        <v>84</v>
      </c>
      <c r="CG309" s="5" t="s">
        <v>85</v>
      </c>
      <c r="CH309" s="5" t="s">
        <v>86</v>
      </c>
      <c r="CI309" s="5" t="s">
        <v>87</v>
      </c>
      <c r="CJ309" s="5" t="s">
        <v>88</v>
      </c>
      <c r="CK309" s="5" t="s">
        <v>89</v>
      </c>
      <c r="CL309" s="5" t="s">
        <v>90</v>
      </c>
      <c r="CM309" s="5" t="s">
        <v>91</v>
      </c>
    </row>
    <row r="310" spans="1:91" x14ac:dyDescent="0.3">
      <c r="A310" s="5" t="s">
        <v>92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9"/>
      <c r="CM310" s="5"/>
    </row>
    <row r="311" spans="1:91" x14ac:dyDescent="0.3">
      <c r="A311" s="5" t="s">
        <v>401</v>
      </c>
      <c r="B311" s="5" t="s">
        <v>109</v>
      </c>
      <c r="C311" s="5">
        <v>3000</v>
      </c>
      <c r="D311" s="5">
        <v>3000</v>
      </c>
      <c r="E311" s="5">
        <f>D311*[1]Rentabiliteit!$V$74</f>
        <v>3000</v>
      </c>
      <c r="F311" s="5">
        <v>3000</v>
      </c>
      <c r="G311" s="6">
        <v>98.2</v>
      </c>
      <c r="H311" s="6">
        <v>96.5</v>
      </c>
      <c r="I311" s="13">
        <v>98.2</v>
      </c>
      <c r="J311" s="5">
        <v>2</v>
      </c>
      <c r="K311" s="5" t="s">
        <v>113</v>
      </c>
      <c r="L311" s="5">
        <v>1</v>
      </c>
      <c r="M311" s="5">
        <v>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>
        <v>175</v>
      </c>
      <c r="AC311" s="5">
        <v>140</v>
      </c>
      <c r="AD311" s="5">
        <v>800</v>
      </c>
      <c r="AE311" s="5">
        <v>850</v>
      </c>
      <c r="AF311" s="5">
        <f t="shared" ref="AF311:AF326" si="80">IF(OR($K311=1,$L311="Yes"),SUM(AG311:AV311),0)</f>
        <v>0</v>
      </c>
      <c r="AG311" s="5">
        <v>12</v>
      </c>
      <c r="AH311" s="5">
        <v>12</v>
      </c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>
        <f t="shared" ref="AW311:AW326" si="81">IF(OR($K311=1,$L311="Yes"),SUM(AX311:BM311),0)</f>
        <v>0</v>
      </c>
      <c r="AX311" s="5">
        <v>18</v>
      </c>
      <c r="AY311" s="5">
        <v>18</v>
      </c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7" t="s">
        <v>96</v>
      </c>
      <c r="BO311" s="6">
        <v>4.5999999999999996</v>
      </c>
      <c r="BP311" s="5" t="s">
        <v>97</v>
      </c>
      <c r="BQ311" s="8">
        <v>43914</v>
      </c>
      <c r="BR311" s="5"/>
      <c r="BS311" s="9">
        <f t="shared" ref="BS311:BS326" si="82">E311/(IF(I311=0,G311,I311)/100)</f>
        <v>3054.9898167006108</v>
      </c>
      <c r="BT311" s="6">
        <f t="shared" ref="BT311:BT321" si="83">F311/400/SQRT(3)</f>
        <v>4.3301270189221936</v>
      </c>
      <c r="BU311" s="9">
        <v>6000</v>
      </c>
      <c r="BV311" s="6">
        <f t="shared" ref="BV311:BV316" si="84">BU311</f>
        <v>6000</v>
      </c>
      <c r="BW311" s="6">
        <f t="shared" ref="BW311:BW316" si="85">BU311</f>
        <v>6000</v>
      </c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9">
        <v>0</v>
      </c>
      <c r="CM311" s="9" t="s">
        <v>165</v>
      </c>
    </row>
    <row r="312" spans="1:91" x14ac:dyDescent="0.3">
      <c r="A312" s="5" t="s">
        <v>402</v>
      </c>
      <c r="B312" s="5" t="s">
        <v>109</v>
      </c>
      <c r="C312" s="5">
        <v>4000</v>
      </c>
      <c r="D312" s="5">
        <v>4000</v>
      </c>
      <c r="E312" s="5">
        <f>D312*[1]Rentabiliteit!$V$74</f>
        <v>4000</v>
      </c>
      <c r="F312" s="5">
        <v>4000</v>
      </c>
      <c r="G312" s="6">
        <v>98.2</v>
      </c>
      <c r="H312" s="6">
        <v>97.1</v>
      </c>
      <c r="I312" s="13">
        <v>98.1</v>
      </c>
      <c r="J312" s="5">
        <v>2</v>
      </c>
      <c r="K312" s="5" t="s">
        <v>113</v>
      </c>
      <c r="L312" s="5">
        <v>1</v>
      </c>
      <c r="M312" s="5">
        <v>1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>
        <v>175</v>
      </c>
      <c r="AC312" s="5">
        <v>175</v>
      </c>
      <c r="AD312" s="5">
        <v>800</v>
      </c>
      <c r="AE312" s="5">
        <v>850</v>
      </c>
      <c r="AF312" s="5">
        <f t="shared" si="80"/>
        <v>0</v>
      </c>
      <c r="AG312" s="5">
        <v>12</v>
      </c>
      <c r="AH312" s="5">
        <v>12</v>
      </c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>
        <f t="shared" si="81"/>
        <v>0</v>
      </c>
      <c r="AX312" s="5">
        <v>18</v>
      </c>
      <c r="AY312" s="5">
        <v>18</v>
      </c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7" t="s">
        <v>96</v>
      </c>
      <c r="BO312" s="6">
        <v>6.1</v>
      </c>
      <c r="BP312" s="5" t="s">
        <v>97</v>
      </c>
      <c r="BQ312" s="8">
        <v>43914</v>
      </c>
      <c r="BR312" s="5"/>
      <c r="BS312" s="9">
        <f t="shared" si="82"/>
        <v>4077.4719673802242</v>
      </c>
      <c r="BT312" s="6">
        <f t="shared" si="83"/>
        <v>5.7735026918962582</v>
      </c>
      <c r="BU312" s="9">
        <v>8000</v>
      </c>
      <c r="BV312" s="6">
        <f t="shared" si="84"/>
        <v>8000</v>
      </c>
      <c r="BW312" s="6">
        <f t="shared" si="85"/>
        <v>8000</v>
      </c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9">
        <v>0</v>
      </c>
      <c r="CM312" s="9" t="s">
        <v>165</v>
      </c>
    </row>
    <row r="313" spans="1:91" x14ac:dyDescent="0.3">
      <c r="A313" s="5" t="s">
        <v>403</v>
      </c>
      <c r="B313" s="5" t="s">
        <v>109</v>
      </c>
      <c r="C313" s="5">
        <v>5000</v>
      </c>
      <c r="D313" s="5">
        <v>5000</v>
      </c>
      <c r="E313" s="5">
        <f>D313*[1]Rentabiliteit!$V$74</f>
        <v>5000</v>
      </c>
      <c r="F313" s="5">
        <v>5000</v>
      </c>
      <c r="G313" s="6">
        <v>98.2</v>
      </c>
      <c r="H313" s="6">
        <v>97.4</v>
      </c>
      <c r="I313" s="13">
        <v>98</v>
      </c>
      <c r="J313" s="5">
        <v>2</v>
      </c>
      <c r="K313" s="5" t="s">
        <v>113</v>
      </c>
      <c r="L313" s="5">
        <v>1</v>
      </c>
      <c r="M313" s="5">
        <v>1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>
        <v>175</v>
      </c>
      <c r="AC313" s="5">
        <v>215</v>
      </c>
      <c r="AD313" s="5">
        <v>800</v>
      </c>
      <c r="AE313" s="5">
        <v>850</v>
      </c>
      <c r="AF313" s="5">
        <f t="shared" si="80"/>
        <v>0</v>
      </c>
      <c r="AG313" s="5">
        <v>12</v>
      </c>
      <c r="AH313" s="5">
        <v>12</v>
      </c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>
        <f t="shared" si="81"/>
        <v>0</v>
      </c>
      <c r="AX313" s="5">
        <v>18</v>
      </c>
      <c r="AY313" s="5">
        <v>18</v>
      </c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7" t="s">
        <v>96</v>
      </c>
      <c r="BO313" s="6">
        <v>7.6</v>
      </c>
      <c r="BP313" s="5" t="s">
        <v>97</v>
      </c>
      <c r="BQ313" s="8">
        <v>43914</v>
      </c>
      <c r="BR313" s="5"/>
      <c r="BS313" s="9">
        <f t="shared" si="82"/>
        <v>5102.0408163265311</v>
      </c>
      <c r="BT313" s="6">
        <f t="shared" si="83"/>
        <v>7.2168783648703227</v>
      </c>
      <c r="BU313" s="9">
        <v>9000</v>
      </c>
      <c r="BV313" s="6">
        <f t="shared" si="84"/>
        <v>9000</v>
      </c>
      <c r="BW313" s="6">
        <f t="shared" si="85"/>
        <v>9000</v>
      </c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9">
        <v>0</v>
      </c>
      <c r="CM313" s="9" t="s">
        <v>165</v>
      </c>
    </row>
    <row r="314" spans="1:91" x14ac:dyDescent="0.3">
      <c r="A314" s="5" t="s">
        <v>404</v>
      </c>
      <c r="B314" s="5" t="s">
        <v>109</v>
      </c>
      <c r="C314" s="5">
        <v>6000</v>
      </c>
      <c r="D314" s="5">
        <v>6000</v>
      </c>
      <c r="E314" s="5">
        <f>D314*[1]Rentabiliteit!$V$74</f>
        <v>6000</v>
      </c>
      <c r="F314" s="5">
        <v>6000</v>
      </c>
      <c r="G314" s="6">
        <v>98.2</v>
      </c>
      <c r="H314" s="6">
        <v>97.6</v>
      </c>
      <c r="I314" s="13">
        <v>98</v>
      </c>
      <c r="J314" s="5">
        <v>2</v>
      </c>
      <c r="K314" s="5" t="s">
        <v>113</v>
      </c>
      <c r="L314" s="5">
        <v>1</v>
      </c>
      <c r="M314" s="5">
        <v>1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>
        <v>175</v>
      </c>
      <c r="AC314" s="5">
        <v>260</v>
      </c>
      <c r="AD314" s="5">
        <v>800</v>
      </c>
      <c r="AE314" s="5">
        <v>850</v>
      </c>
      <c r="AF314" s="5">
        <f t="shared" si="80"/>
        <v>0</v>
      </c>
      <c r="AG314" s="5">
        <v>12</v>
      </c>
      <c r="AH314" s="5">
        <v>12</v>
      </c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>
        <f t="shared" si="81"/>
        <v>0</v>
      </c>
      <c r="AX314" s="5">
        <v>18</v>
      </c>
      <c r="AY314" s="5">
        <v>18</v>
      </c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7" t="s">
        <v>96</v>
      </c>
      <c r="BO314" s="6">
        <v>9.1</v>
      </c>
      <c r="BP314" s="5" t="s">
        <v>97</v>
      </c>
      <c r="BQ314" s="8">
        <v>43908</v>
      </c>
      <c r="BR314" s="5"/>
      <c r="BS314" s="9">
        <f t="shared" si="82"/>
        <v>6122.4489795918371</v>
      </c>
      <c r="BT314" s="6">
        <f t="shared" si="83"/>
        <v>8.6602540378443873</v>
      </c>
      <c r="BU314" s="9">
        <v>9000</v>
      </c>
      <c r="BV314" s="6">
        <f t="shared" si="84"/>
        <v>9000</v>
      </c>
      <c r="BW314" s="6">
        <f t="shared" si="85"/>
        <v>9000</v>
      </c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9">
        <v>0</v>
      </c>
      <c r="CM314" s="9" t="s">
        <v>165</v>
      </c>
    </row>
    <row r="315" spans="1:91" x14ac:dyDescent="0.3">
      <c r="A315" s="5" t="s">
        <v>405</v>
      </c>
      <c r="B315" s="5" t="s">
        <v>109</v>
      </c>
      <c r="C315" s="5">
        <v>8000</v>
      </c>
      <c r="D315" s="5">
        <v>8000</v>
      </c>
      <c r="E315" s="5">
        <f>D315*[1]Rentabiliteit!$V$74</f>
        <v>8000</v>
      </c>
      <c r="F315" s="5">
        <v>8000</v>
      </c>
      <c r="G315" s="6">
        <v>98.3</v>
      </c>
      <c r="H315" s="6">
        <v>97.7</v>
      </c>
      <c r="I315" s="13">
        <v>98</v>
      </c>
      <c r="J315" s="5">
        <v>2</v>
      </c>
      <c r="K315" s="5" t="s">
        <v>113</v>
      </c>
      <c r="L315" s="5">
        <v>2</v>
      </c>
      <c r="M315" s="5">
        <v>1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>
        <v>175</v>
      </c>
      <c r="AC315" s="5">
        <v>260</v>
      </c>
      <c r="AD315" s="5">
        <v>800</v>
      </c>
      <c r="AE315" s="5">
        <v>1000</v>
      </c>
      <c r="AF315" s="5">
        <f t="shared" si="80"/>
        <v>0</v>
      </c>
      <c r="AG315" s="5">
        <v>20</v>
      </c>
      <c r="AH315" s="5">
        <v>12</v>
      </c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>
        <f t="shared" si="81"/>
        <v>0</v>
      </c>
      <c r="AX315" s="5">
        <v>30</v>
      </c>
      <c r="AY315" s="5">
        <v>18</v>
      </c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7" t="s">
        <v>96</v>
      </c>
      <c r="BO315" s="6">
        <v>12.1</v>
      </c>
      <c r="BP315" s="5" t="s">
        <v>97</v>
      </c>
      <c r="BQ315" s="8">
        <v>43908</v>
      </c>
      <c r="BR315" s="5"/>
      <c r="BS315" s="9">
        <f t="shared" si="82"/>
        <v>8163.2653061224491</v>
      </c>
      <c r="BT315" s="6">
        <f t="shared" si="83"/>
        <v>11.547005383792516</v>
      </c>
      <c r="BU315" s="9">
        <v>15000</v>
      </c>
      <c r="BV315" s="6">
        <f t="shared" si="84"/>
        <v>15000</v>
      </c>
      <c r="BW315" s="6">
        <f t="shared" si="85"/>
        <v>15000</v>
      </c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9">
        <v>0</v>
      </c>
      <c r="CM315" s="9" t="s">
        <v>165</v>
      </c>
    </row>
    <row r="316" spans="1:91" x14ac:dyDescent="0.3">
      <c r="A316" s="5" t="s">
        <v>406</v>
      </c>
      <c r="B316" s="5" t="s">
        <v>109</v>
      </c>
      <c r="C316" s="5">
        <v>10000</v>
      </c>
      <c r="D316" s="5">
        <v>10000</v>
      </c>
      <c r="E316" s="5">
        <f>D316*[1]Rentabiliteit!$V$74</f>
        <v>10000</v>
      </c>
      <c r="F316" s="5">
        <v>10000</v>
      </c>
      <c r="G316" s="6">
        <v>98.3</v>
      </c>
      <c r="H316" s="6">
        <v>98</v>
      </c>
      <c r="I316" s="13">
        <v>97.9</v>
      </c>
      <c r="J316" s="5">
        <v>2</v>
      </c>
      <c r="K316" s="5" t="s">
        <v>113</v>
      </c>
      <c r="L316" s="5">
        <v>2</v>
      </c>
      <c r="M316" s="5">
        <v>1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>
        <v>175</v>
      </c>
      <c r="AC316" s="5">
        <v>320</v>
      </c>
      <c r="AD316" s="5">
        <v>800</v>
      </c>
      <c r="AE316" s="5">
        <v>1000</v>
      </c>
      <c r="AF316" s="5">
        <f t="shared" si="80"/>
        <v>0</v>
      </c>
      <c r="AG316" s="5">
        <v>20</v>
      </c>
      <c r="AH316" s="5">
        <v>12</v>
      </c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>
        <f t="shared" si="81"/>
        <v>0</v>
      </c>
      <c r="AX316" s="5">
        <v>30</v>
      </c>
      <c r="AY316" s="5">
        <v>18</v>
      </c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7" t="s">
        <v>96</v>
      </c>
      <c r="BO316" s="6">
        <v>14.5</v>
      </c>
      <c r="BP316" s="5" t="s">
        <v>97</v>
      </c>
      <c r="BQ316" s="8">
        <v>43914</v>
      </c>
      <c r="BR316" s="5"/>
      <c r="BS316" s="9">
        <f t="shared" si="82"/>
        <v>10214.504596527067</v>
      </c>
      <c r="BT316" s="6">
        <f t="shared" si="83"/>
        <v>14.433756729740645</v>
      </c>
      <c r="BU316" s="9">
        <v>15000</v>
      </c>
      <c r="BV316" s="6">
        <f t="shared" si="84"/>
        <v>15000</v>
      </c>
      <c r="BW316" s="6">
        <f t="shared" si="85"/>
        <v>15000</v>
      </c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9">
        <v>0</v>
      </c>
      <c r="CM316" s="9" t="s">
        <v>165</v>
      </c>
    </row>
    <row r="317" spans="1:91" x14ac:dyDescent="0.3">
      <c r="A317" s="5" t="s">
        <v>407</v>
      </c>
      <c r="B317" s="5" t="s">
        <v>109</v>
      </c>
      <c r="C317" s="5">
        <v>12000</v>
      </c>
      <c r="D317" s="5">
        <v>12000</v>
      </c>
      <c r="E317" s="5">
        <f>D317*[1]Rentabiliteit!$V$74</f>
        <v>12000</v>
      </c>
      <c r="F317" s="5">
        <v>12000</v>
      </c>
      <c r="G317" s="6">
        <v>98.2</v>
      </c>
      <c r="H317" s="6">
        <v>97.6</v>
      </c>
      <c r="I317" s="13">
        <v>97.6</v>
      </c>
      <c r="J317" s="5">
        <v>3</v>
      </c>
      <c r="K317" s="5" t="s">
        <v>113</v>
      </c>
      <c r="L317" s="5">
        <v>2</v>
      </c>
      <c r="M317" s="5">
        <v>2</v>
      </c>
      <c r="N317" s="5">
        <v>2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>
        <v>188</v>
      </c>
      <c r="AC317" s="5">
        <v>150</v>
      </c>
      <c r="AD317" s="5">
        <v>800</v>
      </c>
      <c r="AE317" s="5">
        <v>1000</v>
      </c>
      <c r="AF317" s="5">
        <f t="shared" si="80"/>
        <v>0</v>
      </c>
      <c r="AG317" s="5">
        <v>24</v>
      </c>
      <c r="AH317" s="5">
        <v>24</v>
      </c>
      <c r="AI317" s="5">
        <v>24</v>
      </c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>
        <f t="shared" si="81"/>
        <v>0</v>
      </c>
      <c r="AX317" s="14">
        <v>35</v>
      </c>
      <c r="AY317" s="14">
        <v>35</v>
      </c>
      <c r="AZ317" s="14">
        <v>35</v>
      </c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7" t="s">
        <v>96</v>
      </c>
      <c r="BO317" s="6">
        <v>36.6</v>
      </c>
      <c r="BP317" s="5" t="s">
        <v>171</v>
      </c>
      <c r="BQ317" s="8">
        <v>44762</v>
      </c>
      <c r="BR317" s="5"/>
      <c r="BS317" s="9">
        <f t="shared" si="82"/>
        <v>12295.081967213115</v>
      </c>
      <c r="BT317" s="6">
        <f t="shared" si="83"/>
        <v>17.320508075688775</v>
      </c>
      <c r="BU317" s="14">
        <v>99999999</v>
      </c>
      <c r="BV317" s="14">
        <v>99999999</v>
      </c>
      <c r="BW317" s="14">
        <v>99999999</v>
      </c>
      <c r="BX317" s="14">
        <v>99999999</v>
      </c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9">
        <v>0</v>
      </c>
      <c r="CM317" s="9" t="s">
        <v>408</v>
      </c>
    </row>
    <row r="318" spans="1:91" x14ac:dyDescent="0.3">
      <c r="A318" s="5" t="s">
        <v>409</v>
      </c>
      <c r="B318" s="5" t="s">
        <v>109</v>
      </c>
      <c r="C318" s="5">
        <v>15000</v>
      </c>
      <c r="D318" s="5">
        <v>15000</v>
      </c>
      <c r="E318" s="5">
        <f>D318*[1]Rentabiliteit!$V$74</f>
        <v>15000</v>
      </c>
      <c r="F318" s="5">
        <v>15000</v>
      </c>
      <c r="G318" s="6">
        <v>98.2</v>
      </c>
      <c r="H318" s="6">
        <v>97.8</v>
      </c>
      <c r="I318" s="13">
        <v>97.8</v>
      </c>
      <c r="J318" s="5">
        <v>3</v>
      </c>
      <c r="K318" s="5" t="s">
        <v>113</v>
      </c>
      <c r="L318" s="5">
        <v>2</v>
      </c>
      <c r="M318" s="5">
        <v>2</v>
      </c>
      <c r="N318" s="5">
        <v>2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>
        <v>188</v>
      </c>
      <c r="AC318" s="5">
        <v>150</v>
      </c>
      <c r="AD318" s="5">
        <v>800</v>
      </c>
      <c r="AE318" s="5">
        <v>1000</v>
      </c>
      <c r="AF318" s="5">
        <f t="shared" si="80"/>
        <v>0</v>
      </c>
      <c r="AG318" s="5">
        <v>24</v>
      </c>
      <c r="AH318" s="5">
        <v>24</v>
      </c>
      <c r="AI318" s="5">
        <v>24</v>
      </c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>
        <f t="shared" si="81"/>
        <v>0</v>
      </c>
      <c r="AX318" s="14">
        <v>35</v>
      </c>
      <c r="AY318" s="14">
        <v>35</v>
      </c>
      <c r="AZ318" s="14">
        <v>35</v>
      </c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7" t="s">
        <v>96</v>
      </c>
      <c r="BO318" s="6">
        <v>36.6</v>
      </c>
      <c r="BP318" s="5" t="s">
        <v>171</v>
      </c>
      <c r="BQ318" s="8">
        <v>44762</v>
      </c>
      <c r="BR318" s="5"/>
      <c r="BS318" s="9">
        <f t="shared" si="82"/>
        <v>15337.423312883437</v>
      </c>
      <c r="BT318" s="6">
        <f t="shared" si="83"/>
        <v>21.650635094610969</v>
      </c>
      <c r="BU318" s="14">
        <v>99999999</v>
      </c>
      <c r="BV318" s="14">
        <v>99999999</v>
      </c>
      <c r="BW318" s="14">
        <v>99999999</v>
      </c>
      <c r="BX318" s="14">
        <v>99999999</v>
      </c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9">
        <v>0</v>
      </c>
      <c r="CM318" s="9" t="s">
        <v>408</v>
      </c>
    </row>
    <row r="319" spans="1:91" x14ac:dyDescent="0.3">
      <c r="A319" s="5" t="s">
        <v>410</v>
      </c>
      <c r="B319" s="5" t="s">
        <v>109</v>
      </c>
      <c r="C319" s="5">
        <v>20000</v>
      </c>
      <c r="D319" s="5">
        <v>20000</v>
      </c>
      <c r="E319" s="5">
        <f>D319*[1]Rentabiliteit!$V$74</f>
        <v>20000</v>
      </c>
      <c r="F319" s="5">
        <v>20000</v>
      </c>
      <c r="G319" s="6">
        <v>98.2</v>
      </c>
      <c r="H319" s="6">
        <v>97.9</v>
      </c>
      <c r="I319" s="13">
        <v>97.9</v>
      </c>
      <c r="J319" s="5">
        <v>3</v>
      </c>
      <c r="K319" s="5" t="s">
        <v>113</v>
      </c>
      <c r="L319" s="5">
        <v>2</v>
      </c>
      <c r="M319" s="5">
        <v>2</v>
      </c>
      <c r="N319" s="5">
        <v>2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>
        <v>188</v>
      </c>
      <c r="AC319" s="5">
        <v>150</v>
      </c>
      <c r="AD319" s="5">
        <v>800</v>
      </c>
      <c r="AE319" s="5">
        <v>1000</v>
      </c>
      <c r="AF319" s="5">
        <f t="shared" si="80"/>
        <v>0</v>
      </c>
      <c r="AG319" s="5">
        <v>24</v>
      </c>
      <c r="AH319" s="5">
        <v>24</v>
      </c>
      <c r="AI319" s="5">
        <v>24</v>
      </c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>
        <f t="shared" si="81"/>
        <v>0</v>
      </c>
      <c r="AX319" s="14">
        <v>35</v>
      </c>
      <c r="AY319" s="14">
        <v>35</v>
      </c>
      <c r="AZ319" s="14">
        <v>35</v>
      </c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7" t="s">
        <v>96</v>
      </c>
      <c r="BO319" s="6">
        <v>36.6</v>
      </c>
      <c r="BP319" s="5" t="s">
        <v>171</v>
      </c>
      <c r="BQ319" s="8">
        <v>44762</v>
      </c>
      <c r="BR319" s="5"/>
      <c r="BS319" s="9">
        <f t="shared" si="82"/>
        <v>20429.009193054135</v>
      </c>
      <c r="BT319" s="6">
        <f t="shared" si="83"/>
        <v>28.867513459481291</v>
      </c>
      <c r="BU319" s="14">
        <v>99999999</v>
      </c>
      <c r="BV319" s="14">
        <v>99999999</v>
      </c>
      <c r="BW319" s="14">
        <v>99999999</v>
      </c>
      <c r="BX319" s="14">
        <v>99999999</v>
      </c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9">
        <v>0</v>
      </c>
      <c r="CM319" s="9" t="s">
        <v>408</v>
      </c>
    </row>
    <row r="320" spans="1:91" x14ac:dyDescent="0.3">
      <c r="A320" s="5" t="s">
        <v>411</v>
      </c>
      <c r="B320" s="5" t="s">
        <v>109</v>
      </c>
      <c r="C320" s="5">
        <v>25000</v>
      </c>
      <c r="D320" s="5">
        <v>25000</v>
      </c>
      <c r="E320" s="5">
        <f>D320*[1]Rentabiliteit!$V$74</f>
        <v>25000</v>
      </c>
      <c r="F320" s="5">
        <v>25000</v>
      </c>
      <c r="G320" s="6">
        <v>98.2</v>
      </c>
      <c r="H320" s="6">
        <v>98</v>
      </c>
      <c r="I320" s="13">
        <v>98</v>
      </c>
      <c r="J320" s="5">
        <v>3</v>
      </c>
      <c r="K320" s="5" t="s">
        <v>113</v>
      </c>
      <c r="L320" s="5">
        <v>2</v>
      </c>
      <c r="M320" s="5">
        <v>2</v>
      </c>
      <c r="N320" s="5">
        <v>2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>
        <v>188</v>
      </c>
      <c r="AC320" s="5">
        <v>150</v>
      </c>
      <c r="AD320" s="5">
        <v>800</v>
      </c>
      <c r="AE320" s="5">
        <v>1000</v>
      </c>
      <c r="AF320" s="5">
        <v>0</v>
      </c>
      <c r="AG320" s="5">
        <v>24</v>
      </c>
      <c r="AH320" s="5">
        <v>24</v>
      </c>
      <c r="AI320" s="5">
        <v>24</v>
      </c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>
        <f t="shared" si="81"/>
        <v>0</v>
      </c>
      <c r="AX320" s="14">
        <v>35</v>
      </c>
      <c r="AY320" s="14">
        <v>35</v>
      </c>
      <c r="AZ320" s="14">
        <v>35</v>
      </c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7" t="s">
        <v>96</v>
      </c>
      <c r="BO320" s="6">
        <v>36.6</v>
      </c>
      <c r="BP320" s="5" t="s">
        <v>171</v>
      </c>
      <c r="BQ320" s="8">
        <v>44762</v>
      </c>
      <c r="BR320" s="5"/>
      <c r="BS320" s="9">
        <f t="shared" si="82"/>
        <v>25510.204081632655</v>
      </c>
      <c r="BT320" s="6">
        <f t="shared" si="83"/>
        <v>36.084391824351613</v>
      </c>
      <c r="BU320" s="14">
        <v>99999999</v>
      </c>
      <c r="BV320" s="14">
        <v>99999999</v>
      </c>
      <c r="BW320" s="14">
        <v>99999999</v>
      </c>
      <c r="BX320" s="14">
        <v>99999999</v>
      </c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9"/>
      <c r="CM320" s="9" t="s">
        <v>408</v>
      </c>
    </row>
    <row r="321" spans="1:91" x14ac:dyDescent="0.3">
      <c r="A321" s="5" t="s">
        <v>412</v>
      </c>
      <c r="B321" s="5" t="s">
        <v>109</v>
      </c>
      <c r="C321" s="5">
        <v>50000</v>
      </c>
      <c r="D321" s="5">
        <v>50000</v>
      </c>
      <c r="E321" s="5">
        <f>D321*[1]Rentabiliteit!$V$74</f>
        <v>50000</v>
      </c>
      <c r="F321" s="5">
        <v>50000</v>
      </c>
      <c r="G321" s="6">
        <v>98.1</v>
      </c>
      <c r="H321" s="6">
        <v>97.8</v>
      </c>
      <c r="I321" s="6">
        <v>97.6</v>
      </c>
      <c r="J321" s="5">
        <v>6</v>
      </c>
      <c r="K321" s="5" t="s">
        <v>113</v>
      </c>
      <c r="L321" s="5">
        <v>2</v>
      </c>
      <c r="M321" s="5">
        <v>2</v>
      </c>
      <c r="N321" s="5">
        <v>2</v>
      </c>
      <c r="O321" s="5">
        <v>2</v>
      </c>
      <c r="P321" s="5">
        <v>2</v>
      </c>
      <c r="Q321" s="5">
        <v>2</v>
      </c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>
        <v>188</v>
      </c>
      <c r="AC321" s="5">
        <v>150</v>
      </c>
      <c r="AD321" s="5">
        <v>800</v>
      </c>
      <c r="AE321" s="5">
        <v>1000</v>
      </c>
      <c r="AF321" s="5">
        <f t="shared" si="80"/>
        <v>0</v>
      </c>
      <c r="AG321" s="5">
        <v>20</v>
      </c>
      <c r="AH321" s="5">
        <v>20</v>
      </c>
      <c r="AI321" s="5">
        <v>20</v>
      </c>
      <c r="AJ321" s="5">
        <v>20</v>
      </c>
      <c r="AK321" s="5">
        <v>20</v>
      </c>
      <c r="AL321" s="5">
        <v>20</v>
      </c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>
        <f t="shared" si="81"/>
        <v>0</v>
      </c>
      <c r="AX321" s="5">
        <v>30</v>
      </c>
      <c r="AY321" s="5">
        <v>30</v>
      </c>
      <c r="AZ321" s="5">
        <v>30</v>
      </c>
      <c r="BA321" s="5">
        <v>30</v>
      </c>
      <c r="BB321" s="5">
        <v>30</v>
      </c>
      <c r="BC321" s="5">
        <v>30</v>
      </c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7" t="s">
        <v>96</v>
      </c>
      <c r="BO321" s="6">
        <v>72.5</v>
      </c>
      <c r="BP321" s="5" t="s">
        <v>97</v>
      </c>
      <c r="BQ321" s="8">
        <v>43238</v>
      </c>
      <c r="BR321" s="5"/>
      <c r="BS321" s="9">
        <f t="shared" si="82"/>
        <v>51229.508196721312</v>
      </c>
      <c r="BT321" s="6">
        <f t="shared" si="83"/>
        <v>72.168783648703226</v>
      </c>
      <c r="BU321" s="14">
        <v>99999999</v>
      </c>
      <c r="BV321" s="14">
        <v>99999999</v>
      </c>
      <c r="BW321" s="14">
        <v>99999999</v>
      </c>
      <c r="BX321" s="14">
        <v>99999999</v>
      </c>
      <c r="BY321" s="14">
        <v>99999999</v>
      </c>
      <c r="BZ321" s="14">
        <v>99999999</v>
      </c>
      <c r="CA321" s="14">
        <v>99999999</v>
      </c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9">
        <v>0</v>
      </c>
      <c r="CM321" s="9" t="s">
        <v>413</v>
      </c>
    </row>
    <row r="322" spans="1:91" x14ac:dyDescent="0.3">
      <c r="A322" s="5" t="s">
        <v>414</v>
      </c>
      <c r="B322" s="5" t="s">
        <v>109</v>
      </c>
      <c r="C322" s="5">
        <v>100000</v>
      </c>
      <c r="D322" s="5">
        <v>100000</v>
      </c>
      <c r="E322" s="5">
        <f>D322*[1]Rentabiliteit!$V$74</f>
        <v>100000</v>
      </c>
      <c r="F322" s="5">
        <v>100000</v>
      </c>
      <c r="G322" s="6">
        <v>98.8</v>
      </c>
      <c r="H322" s="6">
        <v>98.6</v>
      </c>
      <c r="I322" s="13">
        <v>98.6</v>
      </c>
      <c r="J322" s="5">
        <v>1</v>
      </c>
      <c r="K322" s="5" t="s">
        <v>95</v>
      </c>
      <c r="L322" s="5">
        <v>999999</v>
      </c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14">
        <v>600</v>
      </c>
      <c r="AC322" s="5">
        <v>590</v>
      </c>
      <c r="AD322" s="5">
        <v>1000</v>
      </c>
      <c r="AE322" s="5">
        <v>1000</v>
      </c>
      <c r="AF322" s="5">
        <f t="shared" si="80"/>
        <v>0</v>
      </c>
      <c r="AG322" s="5">
        <v>180</v>
      </c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>
        <f t="shared" si="81"/>
        <v>0</v>
      </c>
      <c r="AX322" s="5">
        <v>325</v>
      </c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7" t="s">
        <v>96</v>
      </c>
      <c r="BO322" s="6">
        <v>151</v>
      </c>
      <c r="BP322" s="5" t="s">
        <v>174</v>
      </c>
      <c r="BQ322" s="8">
        <v>43542</v>
      </c>
      <c r="BR322" s="5"/>
      <c r="BS322" s="9">
        <f t="shared" si="82"/>
        <v>101419.87829614605</v>
      </c>
      <c r="BT322" s="6">
        <f>F322/600/SQRT(3)</f>
        <v>96.22504486493763</v>
      </c>
      <c r="BU322" s="14">
        <v>99999999</v>
      </c>
      <c r="BV322" s="14">
        <v>99999999</v>
      </c>
      <c r="BW322" s="14">
        <v>99999999</v>
      </c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9">
        <v>0</v>
      </c>
      <c r="CM322" s="9" t="s">
        <v>413</v>
      </c>
    </row>
    <row r="323" spans="1:91" x14ac:dyDescent="0.3">
      <c r="A323" s="5" t="s">
        <v>415</v>
      </c>
      <c r="B323" s="5" t="s">
        <v>109</v>
      </c>
      <c r="C323" s="5">
        <v>110000</v>
      </c>
      <c r="D323" s="5">
        <v>110000</v>
      </c>
      <c r="E323" s="5">
        <f>D323*[1]Rentabiliteit!$V$74</f>
        <v>110000</v>
      </c>
      <c r="F323" s="5">
        <v>110000</v>
      </c>
      <c r="G323" s="6">
        <v>98.6</v>
      </c>
      <c r="H323" s="6">
        <v>98.4</v>
      </c>
      <c r="I323" s="13">
        <v>98.4</v>
      </c>
      <c r="J323" s="5">
        <v>12</v>
      </c>
      <c r="K323" s="5" t="s">
        <v>113</v>
      </c>
      <c r="L323" s="5">
        <v>2</v>
      </c>
      <c r="M323" s="5">
        <v>2</v>
      </c>
      <c r="N323" s="5">
        <v>2</v>
      </c>
      <c r="O323" s="5">
        <v>2</v>
      </c>
      <c r="P323" s="5">
        <v>2</v>
      </c>
      <c r="Q323" s="5">
        <v>2</v>
      </c>
      <c r="R323" s="5">
        <v>2</v>
      </c>
      <c r="S323" s="5">
        <v>2</v>
      </c>
      <c r="T323" s="5">
        <v>2</v>
      </c>
      <c r="U323" s="5">
        <v>2</v>
      </c>
      <c r="V323" s="5">
        <v>2</v>
      </c>
      <c r="W323" s="5">
        <v>2</v>
      </c>
      <c r="X323" s="5"/>
      <c r="Y323" s="5"/>
      <c r="Z323" s="5"/>
      <c r="AA323" s="5"/>
      <c r="AB323" s="5">
        <v>250</v>
      </c>
      <c r="AC323" s="5">
        <v>200</v>
      </c>
      <c r="AD323" s="5">
        <v>800</v>
      </c>
      <c r="AE323" s="5">
        <v>1100</v>
      </c>
      <c r="AF323" s="5">
        <f t="shared" si="80"/>
        <v>0</v>
      </c>
      <c r="AG323" s="5">
        <v>26</v>
      </c>
      <c r="AH323" s="5">
        <v>26</v>
      </c>
      <c r="AI323" s="5">
        <v>26</v>
      </c>
      <c r="AJ323" s="5">
        <v>26</v>
      </c>
      <c r="AK323" s="5">
        <v>26</v>
      </c>
      <c r="AL323" s="5">
        <v>26</v>
      </c>
      <c r="AM323" s="5">
        <v>26</v>
      </c>
      <c r="AN323" s="5">
        <v>26</v>
      </c>
      <c r="AO323" s="5">
        <v>26</v>
      </c>
      <c r="AP323" s="5">
        <v>26</v>
      </c>
      <c r="AQ323" s="5">
        <v>26</v>
      </c>
      <c r="AR323" s="5">
        <v>26</v>
      </c>
      <c r="AS323" s="5"/>
      <c r="AT323" s="5"/>
      <c r="AU323" s="5"/>
      <c r="AV323" s="5"/>
      <c r="AW323" s="5">
        <f t="shared" si="81"/>
        <v>0</v>
      </c>
      <c r="AX323" s="5">
        <v>40</v>
      </c>
      <c r="AY323" s="5">
        <v>40</v>
      </c>
      <c r="AZ323" s="5">
        <v>40</v>
      </c>
      <c r="BA323" s="5">
        <v>40</v>
      </c>
      <c r="BB323" s="5">
        <v>40</v>
      </c>
      <c r="BC323" s="5">
        <v>40</v>
      </c>
      <c r="BD323" s="5">
        <v>40</v>
      </c>
      <c r="BE323" s="5">
        <v>40</v>
      </c>
      <c r="BF323" s="5">
        <v>40</v>
      </c>
      <c r="BG323" s="5">
        <v>40</v>
      </c>
      <c r="BH323" s="5">
        <v>40</v>
      </c>
      <c r="BI323" s="5">
        <v>40</v>
      </c>
      <c r="BJ323" s="5"/>
      <c r="BK323" s="5"/>
      <c r="BL323" s="5"/>
      <c r="BM323" s="5"/>
      <c r="BN323" s="7" t="s">
        <v>96</v>
      </c>
      <c r="BO323" s="6">
        <v>159</v>
      </c>
      <c r="BP323" s="5" t="s">
        <v>97</v>
      </c>
      <c r="BQ323" s="8">
        <v>44005</v>
      </c>
      <c r="BR323" s="5"/>
      <c r="BS323" s="9">
        <f t="shared" si="82"/>
        <v>111788.61788617885</v>
      </c>
      <c r="BT323" s="6">
        <f>F323/600/SQRT(3)</f>
        <v>105.8475493514314</v>
      </c>
      <c r="BU323" s="14">
        <v>165000</v>
      </c>
      <c r="BV323" s="14">
        <v>165000</v>
      </c>
      <c r="BW323" s="14">
        <v>165000</v>
      </c>
      <c r="BX323" s="14">
        <v>165000</v>
      </c>
      <c r="BY323" s="14">
        <v>165000</v>
      </c>
      <c r="BZ323" s="14">
        <v>165000</v>
      </c>
      <c r="CA323" s="14">
        <v>165000</v>
      </c>
      <c r="CB323" s="14">
        <v>165000</v>
      </c>
      <c r="CC323" s="14">
        <v>165000</v>
      </c>
      <c r="CD323" s="14">
        <v>165000</v>
      </c>
      <c r="CE323" s="14">
        <v>165000</v>
      </c>
      <c r="CF323" s="14">
        <v>165000</v>
      </c>
      <c r="CG323" s="14">
        <v>165000</v>
      </c>
      <c r="CH323" s="5"/>
      <c r="CI323" s="5"/>
      <c r="CJ323" s="5"/>
      <c r="CK323" s="5"/>
      <c r="CL323" s="9">
        <v>0</v>
      </c>
      <c r="CM323" s="9" t="s">
        <v>413</v>
      </c>
    </row>
    <row r="324" spans="1:91" ht="15.6" x14ac:dyDescent="0.3">
      <c r="A324" s="5" t="s">
        <v>416</v>
      </c>
      <c r="B324" s="22" t="s">
        <v>197</v>
      </c>
      <c r="C324" s="5">
        <v>150000</v>
      </c>
      <c r="D324" s="5">
        <v>150000</v>
      </c>
      <c r="E324" s="5">
        <f>D324*[1]Rentabiliteit!$V$74</f>
        <v>150000</v>
      </c>
      <c r="F324" s="5">
        <v>150000</v>
      </c>
      <c r="G324" s="6">
        <v>99.1</v>
      </c>
      <c r="H324" s="6">
        <v>98.9</v>
      </c>
      <c r="I324" s="13">
        <v>98.9</v>
      </c>
      <c r="J324" s="5">
        <v>1</v>
      </c>
      <c r="K324" s="5" t="s">
        <v>95</v>
      </c>
      <c r="L324" s="5">
        <v>999999</v>
      </c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14">
        <v>900</v>
      </c>
      <c r="AC324" s="5">
        <v>880</v>
      </c>
      <c r="AD324" s="5">
        <v>1450</v>
      </c>
      <c r="AE324" s="5">
        <v>1500</v>
      </c>
      <c r="AF324" s="5">
        <f t="shared" si="80"/>
        <v>0</v>
      </c>
      <c r="AG324" s="5">
        <v>180</v>
      </c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>
        <f t="shared" si="81"/>
        <v>0</v>
      </c>
      <c r="AX324" s="5">
        <v>325</v>
      </c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7" t="s">
        <v>96</v>
      </c>
      <c r="BO324" s="6">
        <v>151</v>
      </c>
      <c r="BP324" s="5" t="s">
        <v>174</v>
      </c>
      <c r="BQ324" s="8">
        <v>43542</v>
      </c>
      <c r="BR324" s="5"/>
      <c r="BS324" s="9">
        <f t="shared" si="82"/>
        <v>151668.35187057633</v>
      </c>
      <c r="BT324" s="6">
        <f>F324/600/SQRT(3)</f>
        <v>144.33756729740645</v>
      </c>
      <c r="BU324" s="14">
        <v>99999999</v>
      </c>
      <c r="BV324" s="14">
        <v>99999999</v>
      </c>
      <c r="BW324" s="14">
        <v>99999999</v>
      </c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9">
        <v>0</v>
      </c>
      <c r="CM324" s="9" t="s">
        <v>413</v>
      </c>
    </row>
    <row r="325" spans="1:91" ht="15.6" x14ac:dyDescent="0.3">
      <c r="A325" s="5" t="s">
        <v>417</v>
      </c>
      <c r="B325" s="22" t="s">
        <v>197</v>
      </c>
      <c r="C325" s="5">
        <v>150000</v>
      </c>
      <c r="D325" s="5">
        <v>150000</v>
      </c>
      <c r="E325" s="5">
        <f>D325*[1]Rentabiliteit!$V$74</f>
        <v>150000</v>
      </c>
      <c r="F325" s="5">
        <v>150000</v>
      </c>
      <c r="G325" s="6">
        <v>99.1</v>
      </c>
      <c r="H325" s="6">
        <v>98.8</v>
      </c>
      <c r="I325" s="13">
        <v>98.8</v>
      </c>
      <c r="J325" s="5">
        <v>1</v>
      </c>
      <c r="K325" s="5" t="s">
        <v>95</v>
      </c>
      <c r="L325" s="5">
        <v>999999</v>
      </c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14">
        <v>900</v>
      </c>
      <c r="AC325" s="5">
        <v>880</v>
      </c>
      <c r="AD325" s="5">
        <v>1450</v>
      </c>
      <c r="AE325" s="5">
        <v>1500</v>
      </c>
      <c r="AF325" s="5">
        <f t="shared" si="80"/>
        <v>0</v>
      </c>
      <c r="AG325" s="5">
        <v>180</v>
      </c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>
        <f t="shared" si="81"/>
        <v>0</v>
      </c>
      <c r="AX325" s="5">
        <v>325</v>
      </c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7" t="s">
        <v>96</v>
      </c>
      <c r="BO325" s="6">
        <v>151</v>
      </c>
      <c r="BP325" s="5" t="s">
        <v>171</v>
      </c>
      <c r="BQ325" s="8">
        <v>44957</v>
      </c>
      <c r="BR325" s="5"/>
      <c r="BS325" s="9">
        <f t="shared" si="82"/>
        <v>151821.86234817814</v>
      </c>
      <c r="BT325" s="6">
        <f>F325/600/SQRT(3)</f>
        <v>144.33756729740645</v>
      </c>
      <c r="BU325" s="14">
        <v>99999999</v>
      </c>
      <c r="BV325" s="14">
        <v>99999999</v>
      </c>
      <c r="BW325" s="14">
        <v>99999999</v>
      </c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9">
        <v>0</v>
      </c>
      <c r="CM325" s="9" t="s">
        <v>418</v>
      </c>
    </row>
    <row r="326" spans="1:91" ht="15.6" x14ac:dyDescent="0.3">
      <c r="A326" s="5" t="s">
        <v>419</v>
      </c>
      <c r="B326" s="22" t="s">
        <v>197</v>
      </c>
      <c r="C326" s="5">
        <v>180000</v>
      </c>
      <c r="D326" s="5">
        <v>180000</v>
      </c>
      <c r="E326" s="5">
        <f>D326*[1]Rentabiliteit!$V$74</f>
        <v>180000</v>
      </c>
      <c r="F326" s="5">
        <v>180000</v>
      </c>
      <c r="G326" s="6">
        <v>99.2</v>
      </c>
      <c r="H326" s="6">
        <v>98.9</v>
      </c>
      <c r="I326" s="13">
        <v>98.9</v>
      </c>
      <c r="J326" s="5">
        <v>1</v>
      </c>
      <c r="K326" s="5" t="s">
        <v>95</v>
      </c>
      <c r="L326" s="5">
        <v>999999</v>
      </c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14">
        <v>1100</v>
      </c>
      <c r="AC326" s="5">
        <v>1012</v>
      </c>
      <c r="AD326" s="5">
        <v>1450</v>
      </c>
      <c r="AE326" s="5">
        <v>1500</v>
      </c>
      <c r="AF326" s="5">
        <f t="shared" si="80"/>
        <v>0</v>
      </c>
      <c r="AG326" s="5">
        <v>180</v>
      </c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>
        <f t="shared" si="81"/>
        <v>0</v>
      </c>
      <c r="AX326" s="5">
        <v>325</v>
      </c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7" t="s">
        <v>96</v>
      </c>
      <c r="BO326" s="6">
        <v>151</v>
      </c>
      <c r="BP326" s="5" t="s">
        <v>171</v>
      </c>
      <c r="BQ326" s="8">
        <v>44930</v>
      </c>
      <c r="BR326" s="5"/>
      <c r="BS326" s="9">
        <f t="shared" si="82"/>
        <v>182002.02224469159</v>
      </c>
      <c r="BT326" s="6">
        <f>F326/600/SQRT(3)</f>
        <v>173.20508075688775</v>
      </c>
      <c r="BU326" s="14">
        <v>99999999</v>
      </c>
      <c r="BV326" s="14">
        <v>99999999</v>
      </c>
      <c r="BW326" s="14">
        <v>99999999</v>
      </c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9">
        <v>0</v>
      </c>
      <c r="CM326" s="9" t="s">
        <v>418</v>
      </c>
    </row>
    <row r="327" spans="1:91" x14ac:dyDescent="0.3">
      <c r="A327" s="5" t="s">
        <v>122</v>
      </c>
      <c r="B327" s="5"/>
      <c r="C327" s="5"/>
      <c r="D327" s="5"/>
      <c r="E327" s="5"/>
      <c r="F327" s="5"/>
      <c r="G327" s="6"/>
      <c r="H327" s="6"/>
      <c r="I327" s="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7"/>
      <c r="BO327" s="6"/>
      <c r="BP327" s="5"/>
      <c r="BQ327" s="8"/>
      <c r="BR327" s="5"/>
      <c r="BS327" s="9">
        <v>9999999</v>
      </c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9"/>
      <c r="CM327" s="9"/>
    </row>
    <row r="328" spans="1:91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2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12"/>
      <c r="CM328" s="12"/>
    </row>
    <row r="329" spans="1:91" ht="15.6" x14ac:dyDescent="0.3">
      <c r="A329" s="1" t="s">
        <v>420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11"/>
      <c r="BS329" s="12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</row>
    <row r="330" spans="1:91" x14ac:dyDescent="0.3">
      <c r="A330" s="5" t="s">
        <v>1</v>
      </c>
      <c r="B330" s="5" t="s">
        <v>2</v>
      </c>
      <c r="C330" s="5" t="s">
        <v>3</v>
      </c>
      <c r="D330" s="5" t="s">
        <v>4</v>
      </c>
      <c r="E330" s="5" t="s">
        <v>5</v>
      </c>
      <c r="F330" s="5" t="s">
        <v>6</v>
      </c>
      <c r="G330" s="5" t="s">
        <v>7</v>
      </c>
      <c r="H330" s="5" t="s">
        <v>8</v>
      </c>
      <c r="I330" s="5" t="s">
        <v>9</v>
      </c>
      <c r="J330" s="5" t="s">
        <v>10</v>
      </c>
      <c r="K330" s="5" t="s">
        <v>11</v>
      </c>
      <c r="L330" s="5" t="s">
        <v>12</v>
      </c>
      <c r="M330" s="5" t="s">
        <v>13</v>
      </c>
      <c r="N330" s="5" t="s">
        <v>14</v>
      </c>
      <c r="O330" s="5" t="s">
        <v>15</v>
      </c>
      <c r="P330" s="5" t="s">
        <v>16</v>
      </c>
      <c r="Q330" s="5" t="s">
        <v>17</v>
      </c>
      <c r="R330" s="5" t="s">
        <v>18</v>
      </c>
      <c r="S330" s="5" t="s">
        <v>19</v>
      </c>
      <c r="T330" s="5" t="s">
        <v>20</v>
      </c>
      <c r="U330" s="5" t="s">
        <v>21</v>
      </c>
      <c r="V330" s="5" t="s">
        <v>22</v>
      </c>
      <c r="W330" s="5" t="s">
        <v>23</v>
      </c>
      <c r="X330" s="5" t="s">
        <v>24</v>
      </c>
      <c r="Y330" s="5" t="s">
        <v>25</v>
      </c>
      <c r="Z330" s="5" t="s">
        <v>26</v>
      </c>
      <c r="AA330" s="5" t="s">
        <v>27</v>
      </c>
      <c r="AB330" s="5" t="s">
        <v>28</v>
      </c>
      <c r="AC330" s="5" t="s">
        <v>29</v>
      </c>
      <c r="AD330" s="5" t="s">
        <v>30</v>
      </c>
      <c r="AE330" s="5" t="s">
        <v>31</v>
      </c>
      <c r="AF330" s="5" t="s">
        <v>32</v>
      </c>
      <c r="AG330" s="5" t="s">
        <v>33</v>
      </c>
      <c r="AH330" s="5" t="s">
        <v>34</v>
      </c>
      <c r="AI330" s="5" t="s">
        <v>35</v>
      </c>
      <c r="AJ330" s="5" t="s">
        <v>36</v>
      </c>
      <c r="AK330" s="5" t="s">
        <v>37</v>
      </c>
      <c r="AL330" s="5" t="s">
        <v>38</v>
      </c>
      <c r="AM330" s="5" t="s">
        <v>39</v>
      </c>
      <c r="AN330" s="5" t="s">
        <v>40</v>
      </c>
      <c r="AO330" s="5" t="s">
        <v>41</v>
      </c>
      <c r="AP330" s="5" t="s">
        <v>42</v>
      </c>
      <c r="AQ330" s="5" t="s">
        <v>43</v>
      </c>
      <c r="AR330" s="5" t="s">
        <v>44</v>
      </c>
      <c r="AS330" s="5" t="s">
        <v>45</v>
      </c>
      <c r="AT330" s="5" t="s">
        <v>46</v>
      </c>
      <c r="AU330" s="5" t="s">
        <v>47</v>
      </c>
      <c r="AV330" s="5" t="s">
        <v>48</v>
      </c>
      <c r="AW330" s="5" t="s">
        <v>49</v>
      </c>
      <c r="AX330" s="5" t="s">
        <v>50</v>
      </c>
      <c r="AY330" s="5" t="s">
        <v>51</v>
      </c>
      <c r="AZ330" s="5" t="s">
        <v>52</v>
      </c>
      <c r="BA330" s="5" t="s">
        <v>53</v>
      </c>
      <c r="BB330" s="5" t="s">
        <v>54</v>
      </c>
      <c r="BC330" s="5" t="s">
        <v>55</v>
      </c>
      <c r="BD330" s="5" t="s">
        <v>56</v>
      </c>
      <c r="BE330" s="5" t="s">
        <v>57</v>
      </c>
      <c r="BF330" s="5" t="s">
        <v>58</v>
      </c>
      <c r="BG330" s="5" t="s">
        <v>59</v>
      </c>
      <c r="BH330" s="5" t="s">
        <v>60</v>
      </c>
      <c r="BI330" s="5" t="s">
        <v>61</v>
      </c>
      <c r="BJ330" s="5" t="s">
        <v>62</v>
      </c>
      <c r="BK330" s="5" t="s">
        <v>63</v>
      </c>
      <c r="BL330" s="5" t="s">
        <v>64</v>
      </c>
      <c r="BM330" s="5" t="s">
        <v>65</v>
      </c>
      <c r="BN330" s="5" t="s">
        <v>66</v>
      </c>
      <c r="BO330" s="5" t="s">
        <v>67</v>
      </c>
      <c r="BP330" s="5" t="s">
        <v>68</v>
      </c>
      <c r="BQ330" s="5" t="s">
        <v>69</v>
      </c>
      <c r="BR330" s="5" t="s">
        <v>70</v>
      </c>
      <c r="BS330" s="5" t="s">
        <v>71</v>
      </c>
      <c r="BT330" s="5" t="s">
        <v>72</v>
      </c>
      <c r="BU330" s="5" t="s">
        <v>73</v>
      </c>
      <c r="BV330" s="5" t="s">
        <v>74</v>
      </c>
      <c r="BW330" s="5" t="s">
        <v>75</v>
      </c>
      <c r="BX330" s="5" t="s">
        <v>76</v>
      </c>
      <c r="BY330" s="5" t="s">
        <v>77</v>
      </c>
      <c r="BZ330" s="5" t="s">
        <v>78</v>
      </c>
      <c r="CA330" s="5" t="s">
        <v>79</v>
      </c>
      <c r="CB330" s="5" t="s">
        <v>80</v>
      </c>
      <c r="CC330" s="5" t="s">
        <v>81</v>
      </c>
      <c r="CD330" s="5" t="s">
        <v>82</v>
      </c>
      <c r="CE330" s="5" t="s">
        <v>83</v>
      </c>
      <c r="CF330" s="5" t="s">
        <v>84</v>
      </c>
      <c r="CG330" s="5" t="s">
        <v>85</v>
      </c>
      <c r="CH330" s="5" t="s">
        <v>86</v>
      </c>
      <c r="CI330" s="5" t="s">
        <v>87</v>
      </c>
      <c r="CJ330" s="5" t="s">
        <v>88</v>
      </c>
      <c r="CK330" s="5" t="s">
        <v>89</v>
      </c>
      <c r="CL330" s="5" t="s">
        <v>90</v>
      </c>
      <c r="CM330" s="5" t="s">
        <v>91</v>
      </c>
    </row>
    <row r="331" spans="1:91" x14ac:dyDescent="0.3">
      <c r="A331" s="5" t="s">
        <v>92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</row>
    <row r="332" spans="1:91" x14ac:dyDescent="0.3">
      <c r="A332" s="5" t="s">
        <v>421</v>
      </c>
      <c r="B332" s="5" t="s">
        <v>94</v>
      </c>
      <c r="C332" s="5">
        <v>2200</v>
      </c>
      <c r="D332" s="5">
        <v>2200</v>
      </c>
      <c r="E332" s="5">
        <f>D332*[1]Rentabiliteit!$V$74</f>
        <v>2200</v>
      </c>
      <c r="F332" s="5">
        <v>2200</v>
      </c>
      <c r="G332" s="6">
        <f>97.6*99.5%</f>
        <v>97.111999999999995</v>
      </c>
      <c r="H332" s="6">
        <f>97.6*98.8%</f>
        <v>96.428799999999995</v>
      </c>
      <c r="I332" s="6">
        <v>97.6</v>
      </c>
      <c r="J332" s="5">
        <v>0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6">
        <v>12</v>
      </c>
      <c r="BP332" s="5" t="s">
        <v>97</v>
      </c>
      <c r="BQ332" s="8">
        <v>42426</v>
      </c>
      <c r="BR332" s="5"/>
      <c r="BS332" s="9">
        <f t="shared" ref="BS332:BS341" si="86">E332/(IF(I332=0,G332,I332)/100)</f>
        <v>2254.0983606557379</v>
      </c>
      <c r="BT332" s="6">
        <f>F332/230</f>
        <v>9.5652173913043477</v>
      </c>
      <c r="BU332" s="10">
        <f>F332*IF([1]Rentabiliteit!$M$35=$CU$381,[1]tabellen!CT332,[1]tabellen!CS332)</f>
        <v>0</v>
      </c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9">
        <v>2</v>
      </c>
      <c r="CM332" s="9" t="s">
        <v>98</v>
      </c>
    </row>
    <row r="333" spans="1:91" x14ac:dyDescent="0.3">
      <c r="A333" s="5" t="s">
        <v>422</v>
      </c>
      <c r="B333" s="5" t="s">
        <v>94</v>
      </c>
      <c r="C333" s="5">
        <v>3000</v>
      </c>
      <c r="D333" s="5">
        <v>3000</v>
      </c>
      <c r="E333" s="5">
        <f>D333*[1]Rentabiliteit!$V$74</f>
        <v>3000</v>
      </c>
      <c r="F333" s="5">
        <v>3000</v>
      </c>
      <c r="G333" s="6">
        <f>97.6*99.5%</f>
        <v>97.111999999999995</v>
      </c>
      <c r="H333" s="6">
        <f>97.6*98.8%</f>
        <v>96.428799999999995</v>
      </c>
      <c r="I333" s="6">
        <v>97.6</v>
      </c>
      <c r="J333" s="5">
        <v>0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6">
        <v>16.5</v>
      </c>
      <c r="BP333" s="5" t="s">
        <v>97</v>
      </c>
      <c r="BQ333" s="8">
        <v>42426</v>
      </c>
      <c r="BR333" s="5"/>
      <c r="BS333" s="9">
        <f t="shared" si="86"/>
        <v>3073.7704918032787</v>
      </c>
      <c r="BT333" s="6">
        <f>F333/230</f>
        <v>13.043478260869565</v>
      </c>
      <c r="BU333" s="10">
        <f>F333*IF([1]Rentabiliteit!$M$35=$CU$381,[1]tabellen!CT333,[1]tabellen!CS333)</f>
        <v>0</v>
      </c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9">
        <v>2</v>
      </c>
      <c r="CM333" s="9" t="s">
        <v>98</v>
      </c>
    </row>
    <row r="334" spans="1:91" x14ac:dyDescent="0.3">
      <c r="A334" s="5" t="s">
        <v>423</v>
      </c>
      <c r="B334" s="5" t="s">
        <v>94</v>
      </c>
      <c r="C334" s="5">
        <v>3500</v>
      </c>
      <c r="D334" s="5">
        <v>3500</v>
      </c>
      <c r="E334" s="5">
        <f>D334*[1]Rentabiliteit!$V$74</f>
        <v>3500</v>
      </c>
      <c r="F334" s="5">
        <v>3500</v>
      </c>
      <c r="G334" s="6">
        <f>97.6*99.5%</f>
        <v>97.111999999999995</v>
      </c>
      <c r="H334" s="6">
        <f>97.5*98.8%</f>
        <v>96.33</v>
      </c>
      <c r="I334" s="6">
        <v>97.4</v>
      </c>
      <c r="J334" s="5">
        <v>0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6">
        <v>13.5</v>
      </c>
      <c r="BP334" s="5" t="s">
        <v>97</v>
      </c>
      <c r="BQ334" s="8">
        <v>42523</v>
      </c>
      <c r="BR334" s="5"/>
      <c r="BS334" s="9">
        <f t="shared" si="86"/>
        <v>3593.4291581108828</v>
      </c>
      <c r="BT334" s="6">
        <f>F334/230</f>
        <v>15.217391304347826</v>
      </c>
      <c r="BU334" s="10">
        <f>F334*IF([1]Rentabiliteit!$M$35=$CU$381,[1]tabellen!CT334,[1]tabellen!CS334)</f>
        <v>0</v>
      </c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9">
        <v>2</v>
      </c>
      <c r="CM334" s="9" t="s">
        <v>98</v>
      </c>
    </row>
    <row r="335" spans="1:91" x14ac:dyDescent="0.3">
      <c r="A335" s="5" t="s">
        <v>424</v>
      </c>
      <c r="B335" s="5" t="s">
        <v>94</v>
      </c>
      <c r="C335" s="5">
        <v>4000</v>
      </c>
      <c r="D335" s="5">
        <v>4000</v>
      </c>
      <c r="E335" s="5">
        <f>D335*[1]Rentabiliteit!$V$74</f>
        <v>4000</v>
      </c>
      <c r="F335" s="5">
        <v>4000</v>
      </c>
      <c r="G335" s="6">
        <f>97.6*99.5%</f>
        <v>97.111999999999995</v>
      </c>
      <c r="H335" s="6">
        <f>97.5*98.8%</f>
        <v>96.33</v>
      </c>
      <c r="I335" s="6">
        <v>97.5</v>
      </c>
      <c r="J335" s="5">
        <v>0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6">
        <v>22</v>
      </c>
      <c r="BP335" s="5" t="s">
        <v>97</v>
      </c>
      <c r="BQ335" s="8">
        <v>42426</v>
      </c>
      <c r="BR335" s="5"/>
      <c r="BS335" s="9">
        <f t="shared" si="86"/>
        <v>4102.5641025641025</v>
      </c>
      <c r="BT335" s="6">
        <f>F335/230</f>
        <v>17.391304347826086</v>
      </c>
      <c r="BU335" s="10">
        <f>F335*IF([1]Rentabiliteit!$M$35=$CU$381,[1]tabellen!CT335,[1]tabellen!CS335)</f>
        <v>0</v>
      </c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9">
        <v>2</v>
      </c>
      <c r="CM335" s="9" t="s">
        <v>98</v>
      </c>
    </row>
    <row r="336" spans="1:91" x14ac:dyDescent="0.3">
      <c r="A336" s="5" t="s">
        <v>425</v>
      </c>
      <c r="B336" s="5" t="s">
        <v>94</v>
      </c>
      <c r="C336" s="5">
        <v>5000</v>
      </c>
      <c r="D336" s="5">
        <v>5000</v>
      </c>
      <c r="E336" s="5">
        <f>D336*[1]Rentabiliteit!$V$74</f>
        <v>5000</v>
      </c>
      <c r="F336" s="5">
        <v>5000</v>
      </c>
      <c r="G336" s="6">
        <f>97.6*99.5%</f>
        <v>97.111999999999995</v>
      </c>
      <c r="H336" s="6">
        <f>97.4*98.8%</f>
        <v>96.231200000000001</v>
      </c>
      <c r="I336" s="6">
        <v>97.4</v>
      </c>
      <c r="J336" s="5">
        <v>0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6">
        <v>27</v>
      </c>
      <c r="BP336" s="5" t="s">
        <v>97</v>
      </c>
      <c r="BQ336" s="8">
        <v>42426</v>
      </c>
      <c r="BR336" s="5"/>
      <c r="BS336" s="9">
        <f t="shared" si="86"/>
        <v>5133.4702258726893</v>
      </c>
      <c r="BT336" s="6">
        <f>F336/230</f>
        <v>21.739130434782609</v>
      </c>
      <c r="BU336" s="10">
        <f>F336*IF([1]Rentabiliteit!$M$35=$CU$381,[1]tabellen!CT336,[1]tabellen!CS336)</f>
        <v>0</v>
      </c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9">
        <v>2</v>
      </c>
      <c r="CM336" s="9" t="s">
        <v>98</v>
      </c>
    </row>
    <row r="337" spans="1:91" x14ac:dyDescent="0.3">
      <c r="A337" s="5" t="s">
        <v>426</v>
      </c>
      <c r="B337" s="5" t="s">
        <v>109</v>
      </c>
      <c r="C337" s="5">
        <v>6000</v>
      </c>
      <c r="D337" s="5">
        <v>6000</v>
      </c>
      <c r="E337" s="5">
        <f>D337*[1]Rentabiliteit!$V$74</f>
        <v>6000</v>
      </c>
      <c r="F337" s="5">
        <v>6000</v>
      </c>
      <c r="G337" s="6">
        <f>98*99.5%</f>
        <v>97.51</v>
      </c>
      <c r="H337" s="6">
        <f>97.3*98.6%</f>
        <v>95.937799999999996</v>
      </c>
      <c r="I337" s="6">
        <v>97.9</v>
      </c>
      <c r="J337" s="5">
        <v>0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6">
        <v>11.5</v>
      </c>
      <c r="BP337" s="5" t="s">
        <v>97</v>
      </c>
      <c r="BQ337" s="8">
        <v>42426</v>
      </c>
      <c r="BR337" s="5"/>
      <c r="BS337" s="9">
        <f t="shared" si="86"/>
        <v>6128.7027579162404</v>
      </c>
      <c r="BT337" s="6">
        <f>F337/400/SQRT(3)</f>
        <v>8.6602540378443873</v>
      </c>
      <c r="BU337" s="10">
        <f>F337*IF([1]Rentabiliteit!$M$35=$CU$381,[1]tabellen!CT337,[1]tabellen!CS337)</f>
        <v>0</v>
      </c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9">
        <v>2</v>
      </c>
      <c r="CM337" s="9" t="s">
        <v>98</v>
      </c>
    </row>
    <row r="338" spans="1:91" x14ac:dyDescent="0.3">
      <c r="A338" s="5" t="s">
        <v>427</v>
      </c>
      <c r="B338" s="5" t="s">
        <v>109</v>
      </c>
      <c r="C338" s="5">
        <v>7000</v>
      </c>
      <c r="D338" s="5">
        <v>7000</v>
      </c>
      <c r="E338" s="5">
        <f>D338*[1]Rentabiliteit!$V$74</f>
        <v>7000</v>
      </c>
      <c r="F338" s="5">
        <v>7000</v>
      </c>
      <c r="G338" s="6">
        <f>98*99.5%</f>
        <v>97.51</v>
      </c>
      <c r="H338" s="6">
        <f>97.3*98.6%</f>
        <v>95.937799999999996</v>
      </c>
      <c r="I338" s="6">
        <v>97.8</v>
      </c>
      <c r="J338" s="5">
        <v>0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6">
        <v>11.5</v>
      </c>
      <c r="BP338" s="5" t="s">
        <v>97</v>
      </c>
      <c r="BQ338" s="8">
        <v>42523</v>
      </c>
      <c r="BR338" s="5"/>
      <c r="BS338" s="9">
        <f t="shared" si="86"/>
        <v>7157.4642126789367</v>
      </c>
      <c r="BT338" s="6">
        <f>F338/400/SQRT(3)</f>
        <v>10.103629710818451</v>
      </c>
      <c r="BU338" s="10">
        <f>F338*IF([1]Rentabiliteit!$M$35=$CU$381,[1]tabellen!CT338,[1]tabellen!CS338)</f>
        <v>0</v>
      </c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9">
        <v>2</v>
      </c>
      <c r="CM338" s="9" t="s">
        <v>98</v>
      </c>
    </row>
    <row r="339" spans="1:91" x14ac:dyDescent="0.3">
      <c r="A339" s="5" t="s">
        <v>428</v>
      </c>
      <c r="B339" s="5" t="s">
        <v>109</v>
      </c>
      <c r="C339" s="5">
        <v>8000</v>
      </c>
      <c r="D339" s="5">
        <v>8000</v>
      </c>
      <c r="E339" s="5">
        <f>D339*[1]Rentabiliteit!$V$74</f>
        <v>8000</v>
      </c>
      <c r="F339" s="5">
        <v>8000</v>
      </c>
      <c r="G339" s="6">
        <f>98*99.5%</f>
        <v>97.51</v>
      </c>
      <c r="H339" s="6">
        <f>97.5*98.6%</f>
        <v>96.135000000000005</v>
      </c>
      <c r="I339" s="6">
        <v>97.8</v>
      </c>
      <c r="J339" s="5">
        <v>0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6">
        <v>13</v>
      </c>
      <c r="BP339" s="5" t="s">
        <v>97</v>
      </c>
      <c r="BQ339" s="8">
        <v>42426</v>
      </c>
      <c r="BR339" s="5"/>
      <c r="BS339" s="9">
        <f t="shared" si="86"/>
        <v>8179.959100204499</v>
      </c>
      <c r="BT339" s="6">
        <f>F339/400/SQRT(3)</f>
        <v>11.547005383792516</v>
      </c>
      <c r="BU339" s="10">
        <f>F339*IF([1]Rentabiliteit!$M$35=$CU$381,[1]tabellen!CT339,[1]tabellen!CS339)</f>
        <v>0</v>
      </c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9">
        <v>2</v>
      </c>
      <c r="CM339" s="9" t="s">
        <v>98</v>
      </c>
    </row>
    <row r="340" spans="1:91" x14ac:dyDescent="0.3">
      <c r="A340" s="5" t="s">
        <v>429</v>
      </c>
      <c r="B340" s="5" t="s">
        <v>109</v>
      </c>
      <c r="C340" s="5">
        <v>9000</v>
      </c>
      <c r="D340" s="5">
        <v>9000</v>
      </c>
      <c r="E340" s="5">
        <f>D340*[1]Rentabiliteit!$V$74</f>
        <v>9000</v>
      </c>
      <c r="F340" s="5">
        <v>9000</v>
      </c>
      <c r="G340" s="6">
        <f>98*99.5%</f>
        <v>97.51</v>
      </c>
      <c r="H340" s="6">
        <f>97.5*98.6%</f>
        <v>96.135000000000005</v>
      </c>
      <c r="I340" s="6">
        <v>97.8</v>
      </c>
      <c r="J340" s="5">
        <v>0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6">
        <v>14.5</v>
      </c>
      <c r="BP340" s="5" t="s">
        <v>97</v>
      </c>
      <c r="BQ340" s="8">
        <v>42523</v>
      </c>
      <c r="BR340" s="5"/>
      <c r="BS340" s="9">
        <f t="shared" si="86"/>
        <v>9202.4539877300613</v>
      </c>
      <c r="BT340" s="6">
        <f>F340/400/SQRT(3)</f>
        <v>12.99038105676658</v>
      </c>
      <c r="BU340" s="10">
        <f>F340*IF([1]Rentabiliteit!$M$35=$CU$381,[1]tabellen!CT340,[1]tabellen!CS340)</f>
        <v>0</v>
      </c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9">
        <v>2</v>
      </c>
      <c r="CM340" s="9" t="s">
        <v>98</v>
      </c>
    </row>
    <row r="341" spans="1:91" x14ac:dyDescent="0.3">
      <c r="A341" s="5" t="s">
        <v>430</v>
      </c>
      <c r="B341" s="5" t="s">
        <v>109</v>
      </c>
      <c r="C341" s="5">
        <v>10000</v>
      </c>
      <c r="D341" s="5">
        <v>10000</v>
      </c>
      <c r="E341" s="5">
        <f>D341*[1]Rentabiliteit!$V$74</f>
        <v>10000</v>
      </c>
      <c r="F341" s="5">
        <v>10000</v>
      </c>
      <c r="G341" s="6">
        <f>98*99.5%</f>
        <v>97.51</v>
      </c>
      <c r="H341" s="6">
        <f>97.6*98.6%</f>
        <v>96.233599999999996</v>
      </c>
      <c r="I341" s="6">
        <v>97.9</v>
      </c>
      <c r="J341" s="5">
        <v>0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6">
        <v>16</v>
      </c>
      <c r="BP341" s="5" t="s">
        <v>97</v>
      </c>
      <c r="BQ341" s="8">
        <v>42426</v>
      </c>
      <c r="BR341" s="5"/>
      <c r="BS341" s="9">
        <f t="shared" si="86"/>
        <v>10214.504596527067</v>
      </c>
      <c r="BT341" s="6">
        <f>F341/400/SQRT(3)</f>
        <v>14.433756729740645</v>
      </c>
      <c r="BU341" s="10">
        <f>F341*IF([1]Rentabiliteit!$M$35=$CU$381,[1]tabellen!CT341,[1]tabellen!CS341)</f>
        <v>0</v>
      </c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9">
        <v>2</v>
      </c>
      <c r="CM341" s="9" t="s">
        <v>98</v>
      </c>
    </row>
    <row r="342" spans="1:91" x14ac:dyDescent="0.3">
      <c r="A342" s="5" t="s">
        <v>122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9">
        <v>9999999</v>
      </c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9"/>
      <c r="CM342" s="9"/>
    </row>
    <row r="343" spans="1:91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2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12"/>
      <c r="CM343" s="12"/>
    </row>
    <row r="344" spans="1:91" ht="15.6" x14ac:dyDescent="0.3">
      <c r="A344" s="1" t="s">
        <v>431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11"/>
      <c r="BS344" s="12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</row>
    <row r="345" spans="1:91" x14ac:dyDescent="0.3">
      <c r="A345" s="5" t="s">
        <v>1</v>
      </c>
      <c r="B345" s="5" t="s">
        <v>2</v>
      </c>
      <c r="C345" s="5" t="s">
        <v>3</v>
      </c>
      <c r="D345" s="5" t="s">
        <v>4</v>
      </c>
      <c r="E345" s="5" t="s">
        <v>5</v>
      </c>
      <c r="F345" s="5" t="s">
        <v>6</v>
      </c>
      <c r="G345" s="5" t="s">
        <v>7</v>
      </c>
      <c r="H345" s="5" t="s">
        <v>8</v>
      </c>
      <c r="I345" s="5" t="s">
        <v>9</v>
      </c>
      <c r="J345" s="5" t="s">
        <v>10</v>
      </c>
      <c r="K345" s="5" t="s">
        <v>11</v>
      </c>
      <c r="L345" s="5" t="s">
        <v>12</v>
      </c>
      <c r="M345" s="5" t="s">
        <v>13</v>
      </c>
      <c r="N345" s="5" t="s">
        <v>14</v>
      </c>
      <c r="O345" s="5" t="s">
        <v>15</v>
      </c>
      <c r="P345" s="5" t="s">
        <v>16</v>
      </c>
      <c r="Q345" s="5" t="s">
        <v>17</v>
      </c>
      <c r="R345" s="5" t="s">
        <v>18</v>
      </c>
      <c r="S345" s="5" t="s">
        <v>19</v>
      </c>
      <c r="T345" s="5" t="s">
        <v>20</v>
      </c>
      <c r="U345" s="5" t="s">
        <v>21</v>
      </c>
      <c r="V345" s="5" t="s">
        <v>22</v>
      </c>
      <c r="W345" s="5" t="s">
        <v>23</v>
      </c>
      <c r="X345" s="5" t="s">
        <v>24</v>
      </c>
      <c r="Y345" s="5" t="s">
        <v>25</v>
      </c>
      <c r="Z345" s="5" t="s">
        <v>26</v>
      </c>
      <c r="AA345" s="5" t="s">
        <v>27</v>
      </c>
      <c r="AB345" s="5" t="s">
        <v>28</v>
      </c>
      <c r="AC345" s="5" t="s">
        <v>29</v>
      </c>
      <c r="AD345" s="5" t="s">
        <v>30</v>
      </c>
      <c r="AE345" s="5" t="s">
        <v>31</v>
      </c>
      <c r="AF345" s="5" t="s">
        <v>32</v>
      </c>
      <c r="AG345" s="5" t="s">
        <v>33</v>
      </c>
      <c r="AH345" s="5" t="s">
        <v>34</v>
      </c>
      <c r="AI345" s="5" t="s">
        <v>35</v>
      </c>
      <c r="AJ345" s="5" t="s">
        <v>36</v>
      </c>
      <c r="AK345" s="5" t="s">
        <v>37</v>
      </c>
      <c r="AL345" s="5" t="s">
        <v>38</v>
      </c>
      <c r="AM345" s="5" t="s">
        <v>39</v>
      </c>
      <c r="AN345" s="5" t="s">
        <v>40</v>
      </c>
      <c r="AO345" s="5" t="s">
        <v>41</v>
      </c>
      <c r="AP345" s="5" t="s">
        <v>42</v>
      </c>
      <c r="AQ345" s="5" t="s">
        <v>43</v>
      </c>
      <c r="AR345" s="5" t="s">
        <v>44</v>
      </c>
      <c r="AS345" s="5" t="s">
        <v>45</v>
      </c>
      <c r="AT345" s="5" t="s">
        <v>46</v>
      </c>
      <c r="AU345" s="5" t="s">
        <v>47</v>
      </c>
      <c r="AV345" s="5" t="s">
        <v>48</v>
      </c>
      <c r="AW345" s="5" t="s">
        <v>49</v>
      </c>
      <c r="AX345" s="5" t="s">
        <v>50</v>
      </c>
      <c r="AY345" s="5" t="s">
        <v>51</v>
      </c>
      <c r="AZ345" s="5" t="s">
        <v>52</v>
      </c>
      <c r="BA345" s="5" t="s">
        <v>53</v>
      </c>
      <c r="BB345" s="5" t="s">
        <v>54</v>
      </c>
      <c r="BC345" s="5" t="s">
        <v>55</v>
      </c>
      <c r="BD345" s="5" t="s">
        <v>56</v>
      </c>
      <c r="BE345" s="5" t="s">
        <v>57</v>
      </c>
      <c r="BF345" s="5" t="s">
        <v>58</v>
      </c>
      <c r="BG345" s="5" t="s">
        <v>59</v>
      </c>
      <c r="BH345" s="5" t="s">
        <v>60</v>
      </c>
      <c r="BI345" s="5" t="s">
        <v>61</v>
      </c>
      <c r="BJ345" s="5" t="s">
        <v>62</v>
      </c>
      <c r="BK345" s="5" t="s">
        <v>63</v>
      </c>
      <c r="BL345" s="5" t="s">
        <v>64</v>
      </c>
      <c r="BM345" s="5" t="s">
        <v>65</v>
      </c>
      <c r="BN345" s="5" t="s">
        <v>66</v>
      </c>
      <c r="BO345" s="5" t="s">
        <v>67</v>
      </c>
      <c r="BP345" s="5" t="s">
        <v>68</v>
      </c>
      <c r="BQ345" s="5" t="s">
        <v>69</v>
      </c>
      <c r="BR345" s="5" t="s">
        <v>70</v>
      </c>
      <c r="BS345" s="5" t="s">
        <v>71</v>
      </c>
      <c r="BT345" s="5" t="s">
        <v>72</v>
      </c>
      <c r="BU345" s="5" t="s">
        <v>73</v>
      </c>
      <c r="BV345" s="5" t="s">
        <v>74</v>
      </c>
      <c r="BW345" s="5" t="s">
        <v>75</v>
      </c>
      <c r="BX345" s="5" t="s">
        <v>76</v>
      </c>
      <c r="BY345" s="5" t="s">
        <v>77</v>
      </c>
      <c r="BZ345" s="5" t="s">
        <v>78</v>
      </c>
      <c r="CA345" s="5" t="s">
        <v>79</v>
      </c>
      <c r="CB345" s="5" t="s">
        <v>80</v>
      </c>
      <c r="CC345" s="5" t="s">
        <v>81</v>
      </c>
      <c r="CD345" s="5" t="s">
        <v>82</v>
      </c>
      <c r="CE345" s="5" t="s">
        <v>83</v>
      </c>
      <c r="CF345" s="5" t="s">
        <v>84</v>
      </c>
      <c r="CG345" s="5" t="s">
        <v>85</v>
      </c>
      <c r="CH345" s="5" t="s">
        <v>86</v>
      </c>
      <c r="CI345" s="5" t="s">
        <v>87</v>
      </c>
      <c r="CJ345" s="5" t="s">
        <v>88</v>
      </c>
      <c r="CK345" s="5" t="s">
        <v>89</v>
      </c>
      <c r="CL345" s="5" t="s">
        <v>90</v>
      </c>
      <c r="CM345" s="5" t="s">
        <v>91</v>
      </c>
    </row>
    <row r="346" spans="1:91" x14ac:dyDescent="0.3">
      <c r="A346" s="5" t="s">
        <v>92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</row>
    <row r="347" spans="1:91" x14ac:dyDescent="0.3">
      <c r="A347" s="5" t="s">
        <v>432</v>
      </c>
      <c r="B347" s="5" t="s">
        <v>94</v>
      </c>
      <c r="C347" s="5">
        <v>2200</v>
      </c>
      <c r="D347" s="5">
        <v>2200</v>
      </c>
      <c r="E347" s="5">
        <f>D347*[1]Rentabiliteit!$V$74</f>
        <v>2200</v>
      </c>
      <c r="F347" s="5">
        <v>2200</v>
      </c>
      <c r="G347" s="6">
        <v>99.2</v>
      </c>
      <c r="H347" s="6">
        <v>98.3</v>
      </c>
      <c r="I347" s="6">
        <v>99.2</v>
      </c>
      <c r="J347" s="5">
        <v>0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6">
        <v>10</v>
      </c>
      <c r="BP347" s="5" t="s">
        <v>97</v>
      </c>
      <c r="BQ347" s="8">
        <v>42426</v>
      </c>
      <c r="BR347" s="5"/>
      <c r="BS347" s="9">
        <f t="shared" ref="BS347:BS363" si="87">E347/(IF(I347=0,G347,I347)/100)</f>
        <v>2217.7419354838712</v>
      </c>
      <c r="BT347" s="6">
        <f>F347/230</f>
        <v>9.5652173913043477</v>
      </c>
      <c r="BU347" s="10">
        <f>F347*IF([1]Rentabiliteit!$M$35=$CU$396,[1]tabellen!CT347,[1]tabellen!CS347)</f>
        <v>0</v>
      </c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9">
        <v>2</v>
      </c>
      <c r="CM347" s="9" t="s">
        <v>433</v>
      </c>
    </row>
    <row r="348" spans="1:91" x14ac:dyDescent="0.3">
      <c r="A348" s="5" t="s">
        <v>434</v>
      </c>
      <c r="B348" s="5" t="s">
        <v>94</v>
      </c>
      <c r="C348" s="5">
        <v>3000</v>
      </c>
      <c r="D348" s="5">
        <v>3000</v>
      </c>
      <c r="E348" s="5">
        <f>D348*[1]Rentabiliteit!$V$74</f>
        <v>3000</v>
      </c>
      <c r="F348" s="5">
        <v>3000</v>
      </c>
      <c r="G348" s="6">
        <v>99.2</v>
      </c>
      <c r="H348" s="6">
        <v>98.8</v>
      </c>
      <c r="I348" s="6">
        <v>99.2</v>
      </c>
      <c r="J348" s="5">
        <v>0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6">
        <v>14</v>
      </c>
      <c r="BP348" s="5" t="s">
        <v>97</v>
      </c>
      <c r="BQ348" s="8">
        <v>42426</v>
      </c>
      <c r="BR348" s="5"/>
      <c r="BS348" s="9">
        <f t="shared" si="87"/>
        <v>3024.1935483870966</v>
      </c>
      <c r="BT348" s="6">
        <f>F348/230</f>
        <v>13.043478260869565</v>
      </c>
      <c r="BU348" s="10">
        <f>F348*IF([1]Rentabiliteit!$M$35=$CU$396,[1]tabellen!CT348,[1]tabellen!CS348)</f>
        <v>0</v>
      </c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9">
        <v>2</v>
      </c>
      <c r="CM348" s="9" t="s">
        <v>433</v>
      </c>
    </row>
    <row r="349" spans="1:91" x14ac:dyDescent="0.3">
      <c r="A349" s="5" t="s">
        <v>435</v>
      </c>
      <c r="B349" s="5" t="s">
        <v>94</v>
      </c>
      <c r="C349" s="5">
        <v>3500</v>
      </c>
      <c r="D349" s="5">
        <v>3500</v>
      </c>
      <c r="E349" s="5">
        <f>D349*[1]Rentabiliteit!$V$74</f>
        <v>3500</v>
      </c>
      <c r="F349" s="5">
        <v>3500</v>
      </c>
      <c r="G349" s="6">
        <v>99.2</v>
      </c>
      <c r="H349" s="6">
        <v>98.8</v>
      </c>
      <c r="I349" s="6">
        <v>99.2</v>
      </c>
      <c r="J349" s="5">
        <v>0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6">
        <v>16</v>
      </c>
      <c r="BP349" s="5" t="s">
        <v>97</v>
      </c>
      <c r="BQ349" s="8">
        <v>42523</v>
      </c>
      <c r="BR349" s="5"/>
      <c r="BS349" s="9">
        <f t="shared" si="87"/>
        <v>3528.2258064516132</v>
      </c>
      <c r="BT349" s="6">
        <f>F349/230</f>
        <v>15.217391304347826</v>
      </c>
      <c r="BU349" s="10">
        <f>F349*IF([1]Rentabiliteit!$M$35=$CU$396,[1]tabellen!CT349,[1]tabellen!CS349)</f>
        <v>0</v>
      </c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9">
        <v>2</v>
      </c>
      <c r="CM349" s="9" t="s">
        <v>433</v>
      </c>
    </row>
    <row r="350" spans="1:91" x14ac:dyDescent="0.3">
      <c r="A350" s="5" t="s">
        <v>436</v>
      </c>
      <c r="B350" s="5" t="s">
        <v>94</v>
      </c>
      <c r="C350" s="5">
        <v>4000</v>
      </c>
      <c r="D350" s="5">
        <v>4000</v>
      </c>
      <c r="E350" s="5">
        <f>D350*[1]Rentabiliteit!$V$74</f>
        <v>4000</v>
      </c>
      <c r="F350" s="5">
        <v>4000</v>
      </c>
      <c r="G350" s="6">
        <v>99.2</v>
      </c>
      <c r="H350" s="6">
        <v>98.8</v>
      </c>
      <c r="I350" s="6">
        <v>99.1</v>
      </c>
      <c r="J350" s="5">
        <v>0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6">
        <v>22</v>
      </c>
      <c r="BP350" s="5" t="s">
        <v>97</v>
      </c>
      <c r="BQ350" s="8">
        <v>42426</v>
      </c>
      <c r="BR350" s="5"/>
      <c r="BS350" s="9">
        <f t="shared" si="87"/>
        <v>4036.3269424823411</v>
      </c>
      <c r="BT350" s="6">
        <f>F350/230</f>
        <v>17.391304347826086</v>
      </c>
      <c r="BU350" s="10">
        <f>F350*IF([1]Rentabiliteit!$M$35=$CU$396,[1]tabellen!CT350,[1]tabellen!CS350)</f>
        <v>0</v>
      </c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9">
        <f t="shared" ref="CL350:CL356" si="88">CL335</f>
        <v>2</v>
      </c>
      <c r="CM350" s="9" t="s">
        <v>433</v>
      </c>
    </row>
    <row r="351" spans="1:91" x14ac:dyDescent="0.3">
      <c r="A351" s="5" t="s">
        <v>437</v>
      </c>
      <c r="B351" s="5" t="s">
        <v>94</v>
      </c>
      <c r="C351" s="5">
        <v>5000</v>
      </c>
      <c r="D351" s="5">
        <v>5000</v>
      </c>
      <c r="E351" s="5">
        <f>D351*[1]Rentabiliteit!$V$74</f>
        <v>5000</v>
      </c>
      <c r="F351" s="5">
        <v>5000</v>
      </c>
      <c r="G351" s="6">
        <v>99.2</v>
      </c>
      <c r="H351" s="6">
        <v>99</v>
      </c>
      <c r="I351" s="6">
        <v>99.2</v>
      </c>
      <c r="J351" s="5">
        <v>0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6">
        <v>27</v>
      </c>
      <c r="BP351" s="5" t="s">
        <v>97</v>
      </c>
      <c r="BQ351" s="8">
        <v>42426</v>
      </c>
      <c r="BR351" s="5"/>
      <c r="BS351" s="9">
        <f t="shared" si="87"/>
        <v>5040.322580645161</v>
      </c>
      <c r="BT351" s="6">
        <f>F351/230</f>
        <v>21.739130434782609</v>
      </c>
      <c r="BU351" s="10">
        <f>F351*IF([1]Rentabiliteit!$M$35=$CU$396,[1]tabellen!CT351,[1]tabellen!CS351)</f>
        <v>0</v>
      </c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9">
        <f t="shared" si="88"/>
        <v>2</v>
      </c>
      <c r="CM351" s="9" t="s">
        <v>433</v>
      </c>
    </row>
    <row r="352" spans="1:91" x14ac:dyDescent="0.3">
      <c r="A352" s="5" t="s">
        <v>438</v>
      </c>
      <c r="B352" s="5" t="s">
        <v>109</v>
      </c>
      <c r="C352" s="5">
        <v>6000</v>
      </c>
      <c r="D352" s="5">
        <v>6000</v>
      </c>
      <c r="E352" s="5">
        <f>D352*[1]Rentabiliteit!$V$74</f>
        <v>6000</v>
      </c>
      <c r="F352" s="5">
        <v>6000</v>
      </c>
      <c r="G352" s="6">
        <v>98</v>
      </c>
      <c r="H352" s="6">
        <v>97.3</v>
      </c>
      <c r="I352" s="6">
        <v>97.9</v>
      </c>
      <c r="J352" s="5">
        <v>0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6">
        <v>11.5</v>
      </c>
      <c r="BP352" s="5" t="s">
        <v>97</v>
      </c>
      <c r="BQ352" s="8">
        <v>42426</v>
      </c>
      <c r="BR352" s="5"/>
      <c r="BS352" s="9">
        <f t="shared" si="87"/>
        <v>6128.7027579162404</v>
      </c>
      <c r="BT352" s="6">
        <f t="shared" ref="BT352:BT362" si="89">F352/400/SQRT(3)</f>
        <v>8.6602540378443873</v>
      </c>
      <c r="BU352" s="10">
        <f>F352*IF([1]Rentabiliteit!$M$35=$CU$396,[1]tabellen!CT352,[1]tabellen!CS352)</f>
        <v>0</v>
      </c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9">
        <f t="shared" si="88"/>
        <v>2</v>
      </c>
      <c r="CM352" s="9" t="s">
        <v>433</v>
      </c>
    </row>
    <row r="353" spans="1:91" x14ac:dyDescent="0.3">
      <c r="A353" s="5" t="s">
        <v>439</v>
      </c>
      <c r="B353" s="5" t="s">
        <v>109</v>
      </c>
      <c r="C353" s="5">
        <v>7000</v>
      </c>
      <c r="D353" s="5">
        <v>7000</v>
      </c>
      <c r="E353" s="5">
        <f>D353*[1]Rentabiliteit!$V$74</f>
        <v>7000</v>
      </c>
      <c r="F353" s="5">
        <v>7000</v>
      </c>
      <c r="G353" s="6">
        <v>98</v>
      </c>
      <c r="H353" s="6">
        <v>97.4</v>
      </c>
      <c r="I353" s="6">
        <v>98</v>
      </c>
      <c r="J353" s="5">
        <v>0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6">
        <v>11.5</v>
      </c>
      <c r="BP353" s="5" t="s">
        <v>97</v>
      </c>
      <c r="BQ353" s="8">
        <v>42523</v>
      </c>
      <c r="BR353" s="5"/>
      <c r="BS353" s="9">
        <f t="shared" si="87"/>
        <v>7142.8571428571431</v>
      </c>
      <c r="BT353" s="6">
        <f t="shared" si="89"/>
        <v>10.103629710818451</v>
      </c>
      <c r="BU353" s="10">
        <f>F353*IF([1]Rentabiliteit!$M$35=$CU$396,[1]tabellen!CT353,[1]tabellen!CS353)</f>
        <v>0</v>
      </c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9">
        <f t="shared" si="88"/>
        <v>2</v>
      </c>
      <c r="CM353" s="9" t="s">
        <v>433</v>
      </c>
    </row>
    <row r="354" spans="1:91" x14ac:dyDescent="0.3">
      <c r="A354" s="5" t="s">
        <v>440</v>
      </c>
      <c r="B354" s="5" t="s">
        <v>109</v>
      </c>
      <c r="C354" s="5">
        <v>8000</v>
      </c>
      <c r="D354" s="5">
        <v>8000</v>
      </c>
      <c r="E354" s="5">
        <f>D354*[1]Rentabiliteit!$V$74</f>
        <v>8000</v>
      </c>
      <c r="F354" s="5">
        <v>8000</v>
      </c>
      <c r="G354" s="6">
        <v>98</v>
      </c>
      <c r="H354" s="6">
        <v>97.6</v>
      </c>
      <c r="I354" s="6">
        <v>98.4</v>
      </c>
      <c r="J354" s="5">
        <v>0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6">
        <v>13</v>
      </c>
      <c r="BP354" s="5" t="s">
        <v>97</v>
      </c>
      <c r="BQ354" s="8">
        <v>42426</v>
      </c>
      <c r="BR354" s="5"/>
      <c r="BS354" s="9">
        <f t="shared" si="87"/>
        <v>8130.0813008130071</v>
      </c>
      <c r="BT354" s="6">
        <f t="shared" si="89"/>
        <v>11.547005383792516</v>
      </c>
      <c r="BU354" s="10">
        <f>F354*IF([1]Rentabiliteit!$M$35=$CU$396,[1]tabellen!CT354,[1]tabellen!CS354)</f>
        <v>0</v>
      </c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9">
        <f t="shared" si="88"/>
        <v>2</v>
      </c>
      <c r="CM354" s="9" t="s">
        <v>433</v>
      </c>
    </row>
    <row r="355" spans="1:91" x14ac:dyDescent="0.3">
      <c r="A355" s="5" t="s">
        <v>441</v>
      </c>
      <c r="B355" s="5" t="s">
        <v>109</v>
      </c>
      <c r="C355" s="5">
        <v>9000</v>
      </c>
      <c r="D355" s="5">
        <v>9000</v>
      </c>
      <c r="E355" s="5">
        <f>D355*[1]Rentabiliteit!$V$74</f>
        <v>9000</v>
      </c>
      <c r="F355" s="5">
        <v>9000</v>
      </c>
      <c r="G355" s="6">
        <v>98</v>
      </c>
      <c r="H355" s="6">
        <v>97.5</v>
      </c>
      <c r="I355" s="6">
        <v>97.8</v>
      </c>
      <c r="J355" s="5">
        <v>0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6">
        <v>14.5</v>
      </c>
      <c r="BP355" s="5" t="s">
        <v>97</v>
      </c>
      <c r="BQ355" s="8">
        <v>42523</v>
      </c>
      <c r="BR355" s="5"/>
      <c r="BS355" s="9">
        <f t="shared" si="87"/>
        <v>9202.4539877300613</v>
      </c>
      <c r="BT355" s="6">
        <f t="shared" si="89"/>
        <v>12.99038105676658</v>
      </c>
      <c r="BU355" s="10">
        <f>F355*IF([1]Rentabiliteit!$M$35=$CU$396,[1]tabellen!CT355,[1]tabellen!CS355)</f>
        <v>0</v>
      </c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9">
        <f t="shared" si="88"/>
        <v>2</v>
      </c>
      <c r="CM355" s="9" t="s">
        <v>433</v>
      </c>
    </row>
    <row r="356" spans="1:91" x14ac:dyDescent="0.3">
      <c r="A356" s="5" t="s">
        <v>442</v>
      </c>
      <c r="B356" s="5" t="s">
        <v>109</v>
      </c>
      <c r="C356" s="5">
        <v>10000</v>
      </c>
      <c r="D356" s="5">
        <v>10000</v>
      </c>
      <c r="E356" s="5">
        <f>D356*[1]Rentabiliteit!$V$74</f>
        <v>10000</v>
      </c>
      <c r="F356" s="5">
        <v>10000</v>
      </c>
      <c r="G356" s="6">
        <v>98</v>
      </c>
      <c r="H356" s="6">
        <v>97.6</v>
      </c>
      <c r="I356" s="6">
        <v>97.9</v>
      </c>
      <c r="J356" s="5">
        <v>0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6">
        <v>16</v>
      </c>
      <c r="BP356" s="5" t="s">
        <v>97</v>
      </c>
      <c r="BQ356" s="8">
        <v>42426</v>
      </c>
      <c r="BR356" s="5"/>
      <c r="BS356" s="9">
        <f t="shared" si="87"/>
        <v>10214.504596527067</v>
      </c>
      <c r="BT356" s="6">
        <f t="shared" si="89"/>
        <v>14.433756729740645</v>
      </c>
      <c r="BU356" s="10">
        <f>F356*IF([1]Rentabiliteit!$M$35=$CU$396,[1]tabellen!CT356,[1]tabellen!CS356)</f>
        <v>0</v>
      </c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9">
        <f t="shared" si="88"/>
        <v>2</v>
      </c>
      <c r="CM356" s="9" t="s">
        <v>433</v>
      </c>
    </row>
    <row r="357" spans="1:91" x14ac:dyDescent="0.3">
      <c r="A357" s="16" t="s">
        <v>443</v>
      </c>
      <c r="B357" s="16" t="s">
        <v>109</v>
      </c>
      <c r="C357" s="16">
        <v>12500</v>
      </c>
      <c r="D357" s="16">
        <v>12500</v>
      </c>
      <c r="E357" s="16">
        <f>D357*[1]Rentabiliteit!$V$74</f>
        <v>12500</v>
      </c>
      <c r="F357" s="16">
        <v>12500</v>
      </c>
      <c r="G357" s="17">
        <f>98*99.5%</f>
        <v>97.51</v>
      </c>
      <c r="H357" s="17">
        <f>97.7*98.6%</f>
        <v>96.3322</v>
      </c>
      <c r="I357" s="17">
        <v>97.9</v>
      </c>
      <c r="J357" s="16">
        <v>0</v>
      </c>
      <c r="K357" s="5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7">
        <v>20</v>
      </c>
      <c r="BP357" s="16" t="s">
        <v>97</v>
      </c>
      <c r="BQ357" s="19">
        <v>42523</v>
      </c>
      <c r="BR357" s="16"/>
      <c r="BS357" s="15">
        <f t="shared" si="87"/>
        <v>12768.130745658835</v>
      </c>
      <c r="BT357" s="17">
        <f t="shared" si="89"/>
        <v>18.042195912175806</v>
      </c>
      <c r="BU357" s="15">
        <f>F357*IF([1]Rentabiliteit!$M$35=$CU$396,[1]tabellen!CT357,[1]tabellen!CS357)</f>
        <v>0</v>
      </c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5">
        <v>2</v>
      </c>
      <c r="CM357" s="9" t="s">
        <v>433</v>
      </c>
    </row>
    <row r="358" spans="1:91" x14ac:dyDescent="0.3">
      <c r="A358" s="16" t="s">
        <v>444</v>
      </c>
      <c r="B358" s="16" t="s">
        <v>109</v>
      </c>
      <c r="C358" s="16">
        <v>15000</v>
      </c>
      <c r="D358" s="16">
        <v>15000</v>
      </c>
      <c r="E358" s="16">
        <f>D358*[1]Rentabiliteit!$V$74</f>
        <v>15000</v>
      </c>
      <c r="F358" s="16">
        <v>15000</v>
      </c>
      <c r="G358" s="17">
        <f>98*99.5%</f>
        <v>97.51</v>
      </c>
      <c r="H358" s="17">
        <f>97.6*98.6%</f>
        <v>96.233599999999996</v>
      </c>
      <c r="I358" s="17">
        <v>97.9</v>
      </c>
      <c r="J358" s="16">
        <v>0</v>
      </c>
      <c r="K358" s="5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7">
        <v>23</v>
      </c>
      <c r="BP358" s="16" t="s">
        <v>97</v>
      </c>
      <c r="BQ358" s="19">
        <v>42523</v>
      </c>
      <c r="BR358" s="16"/>
      <c r="BS358" s="15">
        <f t="shared" si="87"/>
        <v>15321.756894790602</v>
      </c>
      <c r="BT358" s="17">
        <f t="shared" si="89"/>
        <v>21.650635094610969</v>
      </c>
      <c r="BU358" s="15">
        <f>F358*IF([1]Rentabiliteit!$M$35=$CU$396,[1]tabellen!CT358,[1]tabellen!CS358)</f>
        <v>0</v>
      </c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5">
        <v>2</v>
      </c>
      <c r="CM358" s="9" t="s">
        <v>433</v>
      </c>
    </row>
    <row r="359" spans="1:91" x14ac:dyDescent="0.3">
      <c r="A359" s="16" t="s">
        <v>445</v>
      </c>
      <c r="B359" s="16" t="s">
        <v>109</v>
      </c>
      <c r="C359" s="16">
        <v>16000</v>
      </c>
      <c r="D359" s="16">
        <v>16000</v>
      </c>
      <c r="E359" s="16">
        <f>D359*[1]Rentabiliteit!$V$74</f>
        <v>16000</v>
      </c>
      <c r="F359" s="16">
        <v>16000</v>
      </c>
      <c r="G359" s="17">
        <f>98*99.5%</f>
        <v>97.51</v>
      </c>
      <c r="H359" s="17">
        <f>97.7*98.6%</f>
        <v>96.3322</v>
      </c>
      <c r="I359" s="17">
        <v>97.9</v>
      </c>
      <c r="J359" s="16">
        <v>0</v>
      </c>
      <c r="K359" s="5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7">
        <v>25.5</v>
      </c>
      <c r="BP359" s="16" t="s">
        <v>97</v>
      </c>
      <c r="BQ359" s="19">
        <v>42523</v>
      </c>
      <c r="BR359" s="16"/>
      <c r="BS359" s="15">
        <f t="shared" si="87"/>
        <v>16343.207354443308</v>
      </c>
      <c r="BT359" s="17">
        <f t="shared" si="89"/>
        <v>23.094010767585033</v>
      </c>
      <c r="BU359" s="15">
        <f>F359*IF([1]Rentabiliteit!$M$35=$CU$396,[1]tabellen!CT359,[1]tabellen!CS359)</f>
        <v>0</v>
      </c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5">
        <v>2</v>
      </c>
      <c r="CM359" s="9" t="s">
        <v>433</v>
      </c>
    </row>
    <row r="360" spans="1:91" x14ac:dyDescent="0.3">
      <c r="A360" s="16" t="s">
        <v>446</v>
      </c>
      <c r="B360" s="16" t="s">
        <v>109</v>
      </c>
      <c r="C360" s="16">
        <v>17000</v>
      </c>
      <c r="D360" s="16">
        <v>17000</v>
      </c>
      <c r="E360" s="16">
        <f>D360*[1]Rentabiliteit!$V$74</f>
        <v>17000</v>
      </c>
      <c r="F360" s="16">
        <v>17000</v>
      </c>
      <c r="G360" s="17">
        <f>98*99.5%</f>
        <v>97.51</v>
      </c>
      <c r="H360" s="17">
        <f>97.7*98.6%</f>
        <v>96.3322</v>
      </c>
      <c r="I360" s="17">
        <v>97.9</v>
      </c>
      <c r="J360" s="16">
        <v>0</v>
      </c>
      <c r="K360" s="5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7">
        <v>26</v>
      </c>
      <c r="BP360" s="16" t="s">
        <v>97</v>
      </c>
      <c r="BQ360" s="19">
        <v>42523</v>
      </c>
      <c r="BR360" s="16"/>
      <c r="BS360" s="15">
        <f t="shared" si="87"/>
        <v>17364.657814096015</v>
      </c>
      <c r="BT360" s="17">
        <f t="shared" si="89"/>
        <v>24.537386440559096</v>
      </c>
      <c r="BU360" s="15">
        <f>F360*IF([1]Rentabiliteit!$M$35=$CU$396,[1]tabellen!CT360,[1]tabellen!CS360)</f>
        <v>0</v>
      </c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5">
        <v>2</v>
      </c>
      <c r="CM360" s="9" t="s">
        <v>433</v>
      </c>
    </row>
    <row r="361" spans="1:91" x14ac:dyDescent="0.3">
      <c r="A361" s="16" t="s">
        <v>447</v>
      </c>
      <c r="B361" s="16" t="s">
        <v>109</v>
      </c>
      <c r="C361" s="16">
        <v>25000</v>
      </c>
      <c r="D361" s="16">
        <v>25000</v>
      </c>
      <c r="E361" s="16">
        <f>D361*[1]Rentabiliteit!$V$74</f>
        <v>25000</v>
      </c>
      <c r="F361" s="16">
        <v>25000</v>
      </c>
      <c r="G361" s="17">
        <f>98.3*99.5%</f>
        <v>97.808499999999995</v>
      </c>
      <c r="H361" s="17">
        <f>98*98.6%</f>
        <v>96.628</v>
      </c>
      <c r="I361" s="17">
        <v>98.1</v>
      </c>
      <c r="J361" s="16">
        <v>0</v>
      </c>
      <c r="K361" s="5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7">
        <v>38</v>
      </c>
      <c r="BP361" s="16" t="s">
        <v>97</v>
      </c>
      <c r="BQ361" s="19">
        <v>42523</v>
      </c>
      <c r="BR361" s="16"/>
      <c r="BS361" s="15">
        <f t="shared" si="87"/>
        <v>25484.199796126402</v>
      </c>
      <c r="BT361" s="17">
        <f t="shared" si="89"/>
        <v>36.084391824351613</v>
      </c>
      <c r="BU361" s="15">
        <f>F361*IF([1]Rentabiliteit!$M$35=$CU$396,[1]tabellen!CT361,[1]tabellen!CS361)</f>
        <v>0</v>
      </c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5">
        <v>2</v>
      </c>
      <c r="CM361" s="9" t="s">
        <v>433</v>
      </c>
    </row>
    <row r="362" spans="1:91" x14ac:dyDescent="0.3">
      <c r="A362" s="16" t="s">
        <v>448</v>
      </c>
      <c r="B362" s="16" t="s">
        <v>109</v>
      </c>
      <c r="C362" s="16">
        <v>27600</v>
      </c>
      <c r="D362" s="16">
        <v>27600</v>
      </c>
      <c r="E362" s="16">
        <f>D362*[1]Rentabiliteit!$V$74</f>
        <v>27600</v>
      </c>
      <c r="F362" s="16">
        <v>27600</v>
      </c>
      <c r="G362" s="17">
        <f>98.3*99.5%</f>
        <v>97.808499999999995</v>
      </c>
      <c r="H362" s="17">
        <f>98*98.6%</f>
        <v>96.628</v>
      </c>
      <c r="I362" s="17">
        <v>98.1</v>
      </c>
      <c r="J362" s="16">
        <v>0</v>
      </c>
      <c r="K362" s="5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7">
        <v>40</v>
      </c>
      <c r="BP362" s="16" t="s">
        <v>97</v>
      </c>
      <c r="BQ362" s="19">
        <v>42523</v>
      </c>
      <c r="BR362" s="16"/>
      <c r="BS362" s="15">
        <f t="shared" si="87"/>
        <v>28134.556574923547</v>
      </c>
      <c r="BT362" s="17">
        <f t="shared" si="89"/>
        <v>39.837168574084181</v>
      </c>
      <c r="BU362" s="15">
        <f>F362*IF([1]Rentabiliteit!$M$35=$CU$396,[1]tabellen!CT362,[1]tabellen!CS362)</f>
        <v>0</v>
      </c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5">
        <v>2</v>
      </c>
      <c r="CM362" s="9" t="s">
        <v>433</v>
      </c>
    </row>
    <row r="363" spans="1:91" ht="15.6" x14ac:dyDescent="0.3">
      <c r="A363" s="16" t="s">
        <v>449</v>
      </c>
      <c r="B363" s="21" t="s">
        <v>183</v>
      </c>
      <c r="C363" s="16">
        <v>33300</v>
      </c>
      <c r="D363" s="16">
        <v>33300</v>
      </c>
      <c r="E363" s="16">
        <f>D363*[1]Rentabiliteit!$V$74</f>
        <v>33300</v>
      </c>
      <c r="F363" s="16">
        <v>33300</v>
      </c>
      <c r="G363" s="17">
        <f>98.1*99.5%</f>
        <v>97.609499999999997</v>
      </c>
      <c r="H363" s="17">
        <f>97.8*98.6%</f>
        <v>96.430799999999991</v>
      </c>
      <c r="I363" s="17">
        <v>98.3</v>
      </c>
      <c r="J363" s="16">
        <v>0</v>
      </c>
      <c r="K363" s="5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7">
        <v>40</v>
      </c>
      <c r="BP363" s="16" t="s">
        <v>97</v>
      </c>
      <c r="BQ363" s="19">
        <v>42523</v>
      </c>
      <c r="BR363" s="16"/>
      <c r="BS363" s="15">
        <f t="shared" si="87"/>
        <v>33875.89013224822</v>
      </c>
      <c r="BT363" s="17">
        <f>F363/480/SQRT(3)</f>
        <v>40.053674925030293</v>
      </c>
      <c r="BU363" s="15">
        <f>F363*IF([1]Rentabiliteit!$M$35=$CU$396,[1]tabellen!CT363,[1]tabellen!CS363)</f>
        <v>0</v>
      </c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5">
        <v>2</v>
      </c>
      <c r="CM363" s="9" t="s">
        <v>433</v>
      </c>
    </row>
    <row r="364" spans="1:91" x14ac:dyDescent="0.3">
      <c r="A364" s="5" t="s">
        <v>122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9">
        <v>9999999</v>
      </c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9"/>
      <c r="CM364" s="9"/>
    </row>
    <row r="365" spans="1:91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2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12"/>
      <c r="CM365" s="12"/>
    </row>
    <row r="366" spans="1:91" ht="15.6" x14ac:dyDescent="0.3">
      <c r="A366" s="1" t="s">
        <v>450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11"/>
      <c r="BS366" s="12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</row>
    <row r="367" spans="1:91" x14ac:dyDescent="0.3">
      <c r="A367" s="5" t="s">
        <v>1</v>
      </c>
      <c r="B367" s="5" t="s">
        <v>2</v>
      </c>
      <c r="C367" s="5" t="s">
        <v>3</v>
      </c>
      <c r="D367" s="5" t="s">
        <v>4</v>
      </c>
      <c r="E367" s="5" t="s">
        <v>5</v>
      </c>
      <c r="F367" s="5" t="s">
        <v>6</v>
      </c>
      <c r="G367" s="5" t="s">
        <v>7</v>
      </c>
      <c r="H367" s="5" t="s">
        <v>8</v>
      </c>
      <c r="I367" s="5" t="s">
        <v>9</v>
      </c>
      <c r="J367" s="5" t="s">
        <v>10</v>
      </c>
      <c r="K367" s="5" t="s">
        <v>11</v>
      </c>
      <c r="L367" s="5" t="s">
        <v>12</v>
      </c>
      <c r="M367" s="5" t="s">
        <v>13</v>
      </c>
      <c r="N367" s="5" t="s">
        <v>14</v>
      </c>
      <c r="O367" s="5" t="s">
        <v>15</v>
      </c>
      <c r="P367" s="5" t="s">
        <v>16</v>
      </c>
      <c r="Q367" s="5" t="s">
        <v>17</v>
      </c>
      <c r="R367" s="5" t="s">
        <v>18</v>
      </c>
      <c r="S367" s="5" t="s">
        <v>19</v>
      </c>
      <c r="T367" s="5" t="s">
        <v>20</v>
      </c>
      <c r="U367" s="5" t="s">
        <v>21</v>
      </c>
      <c r="V367" s="5" t="s">
        <v>22</v>
      </c>
      <c r="W367" s="5" t="s">
        <v>23</v>
      </c>
      <c r="X367" s="5" t="s">
        <v>24</v>
      </c>
      <c r="Y367" s="5" t="s">
        <v>25</v>
      </c>
      <c r="Z367" s="5" t="s">
        <v>26</v>
      </c>
      <c r="AA367" s="5" t="s">
        <v>27</v>
      </c>
      <c r="AB367" s="5" t="s">
        <v>28</v>
      </c>
      <c r="AC367" s="5" t="s">
        <v>29</v>
      </c>
      <c r="AD367" s="5" t="s">
        <v>30</v>
      </c>
      <c r="AE367" s="5" t="s">
        <v>31</v>
      </c>
      <c r="AF367" s="5" t="s">
        <v>32</v>
      </c>
      <c r="AG367" s="5" t="s">
        <v>33</v>
      </c>
      <c r="AH367" s="5" t="s">
        <v>34</v>
      </c>
      <c r="AI367" s="5" t="s">
        <v>35</v>
      </c>
      <c r="AJ367" s="5" t="s">
        <v>36</v>
      </c>
      <c r="AK367" s="5" t="s">
        <v>37</v>
      </c>
      <c r="AL367" s="5" t="s">
        <v>38</v>
      </c>
      <c r="AM367" s="5" t="s">
        <v>39</v>
      </c>
      <c r="AN367" s="5" t="s">
        <v>40</v>
      </c>
      <c r="AO367" s="5" t="s">
        <v>41</v>
      </c>
      <c r="AP367" s="5" t="s">
        <v>42</v>
      </c>
      <c r="AQ367" s="5" t="s">
        <v>43</v>
      </c>
      <c r="AR367" s="5" t="s">
        <v>44</v>
      </c>
      <c r="AS367" s="5" t="s">
        <v>45</v>
      </c>
      <c r="AT367" s="5" t="s">
        <v>46</v>
      </c>
      <c r="AU367" s="5" t="s">
        <v>47</v>
      </c>
      <c r="AV367" s="5" t="s">
        <v>48</v>
      </c>
      <c r="AW367" s="5" t="s">
        <v>49</v>
      </c>
      <c r="AX367" s="5" t="s">
        <v>50</v>
      </c>
      <c r="AY367" s="5" t="s">
        <v>51</v>
      </c>
      <c r="AZ367" s="5" t="s">
        <v>52</v>
      </c>
      <c r="BA367" s="5" t="s">
        <v>53</v>
      </c>
      <c r="BB367" s="5" t="s">
        <v>54</v>
      </c>
      <c r="BC367" s="5" t="s">
        <v>55</v>
      </c>
      <c r="BD367" s="5" t="s">
        <v>56</v>
      </c>
      <c r="BE367" s="5" t="s">
        <v>57</v>
      </c>
      <c r="BF367" s="5" t="s">
        <v>58</v>
      </c>
      <c r="BG367" s="5" t="s">
        <v>59</v>
      </c>
      <c r="BH367" s="5" t="s">
        <v>60</v>
      </c>
      <c r="BI367" s="5" t="s">
        <v>61</v>
      </c>
      <c r="BJ367" s="5" t="s">
        <v>62</v>
      </c>
      <c r="BK367" s="5" t="s">
        <v>63</v>
      </c>
      <c r="BL367" s="5" t="s">
        <v>64</v>
      </c>
      <c r="BM367" s="5" t="s">
        <v>65</v>
      </c>
      <c r="BN367" s="5" t="s">
        <v>66</v>
      </c>
      <c r="BO367" s="5" t="s">
        <v>67</v>
      </c>
      <c r="BP367" s="5" t="s">
        <v>68</v>
      </c>
      <c r="BQ367" s="5" t="s">
        <v>69</v>
      </c>
      <c r="BR367" s="5" t="s">
        <v>70</v>
      </c>
      <c r="BS367" s="5" t="s">
        <v>71</v>
      </c>
      <c r="BT367" s="5" t="s">
        <v>72</v>
      </c>
      <c r="BU367" s="5" t="s">
        <v>73</v>
      </c>
      <c r="BV367" s="5" t="s">
        <v>74</v>
      </c>
      <c r="BW367" s="5" t="s">
        <v>75</v>
      </c>
      <c r="BX367" s="5" t="s">
        <v>76</v>
      </c>
      <c r="BY367" s="5" t="s">
        <v>77</v>
      </c>
      <c r="BZ367" s="5" t="s">
        <v>78</v>
      </c>
      <c r="CA367" s="5" t="s">
        <v>79</v>
      </c>
      <c r="CB367" s="5" t="s">
        <v>80</v>
      </c>
      <c r="CC367" s="5" t="s">
        <v>81</v>
      </c>
      <c r="CD367" s="5" t="s">
        <v>82</v>
      </c>
      <c r="CE367" s="5" t="s">
        <v>83</v>
      </c>
      <c r="CF367" s="5" t="s">
        <v>84</v>
      </c>
      <c r="CG367" s="5" t="s">
        <v>85</v>
      </c>
      <c r="CH367" s="5" t="s">
        <v>86</v>
      </c>
      <c r="CI367" s="5" t="s">
        <v>87</v>
      </c>
      <c r="CJ367" s="5" t="s">
        <v>88</v>
      </c>
      <c r="CK367" s="5" t="s">
        <v>89</v>
      </c>
      <c r="CL367" s="5" t="s">
        <v>90</v>
      </c>
      <c r="CM367" s="5" t="s">
        <v>91</v>
      </c>
    </row>
    <row r="368" spans="1:91" x14ac:dyDescent="0.3">
      <c r="A368" s="5" t="s">
        <v>92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</row>
    <row r="369" spans="1:91" ht="15.6" x14ac:dyDescent="0.3">
      <c r="A369" s="5" t="s">
        <v>451</v>
      </c>
      <c r="B369" s="5" t="s">
        <v>109</v>
      </c>
      <c r="C369" s="5">
        <v>10000</v>
      </c>
      <c r="D369" s="5">
        <v>10000</v>
      </c>
      <c r="E369" s="5">
        <f>D369*[1]Rentabiliteit!$V$74</f>
        <v>10000</v>
      </c>
      <c r="F369" s="5">
        <v>11000</v>
      </c>
      <c r="G369" s="5">
        <v>98.6</v>
      </c>
      <c r="H369" s="5">
        <v>98.1</v>
      </c>
      <c r="I369" s="14">
        <v>98.1</v>
      </c>
      <c r="J369" s="5">
        <v>2</v>
      </c>
      <c r="K369" s="5" t="s">
        <v>113</v>
      </c>
      <c r="L369" s="5">
        <v>1</v>
      </c>
      <c r="M369" s="5">
        <v>1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>
        <v>250</v>
      </c>
      <c r="AC369" s="5">
        <v>470</v>
      </c>
      <c r="AD369" s="5">
        <v>850</v>
      </c>
      <c r="AE369" s="5">
        <v>1100</v>
      </c>
      <c r="AF369" s="5">
        <f t="shared" ref="AF369:AF378" si="90">IF(OR($K369=1,$L369="Yes"),SUM(AG369:AV369),0)</f>
        <v>0</v>
      </c>
      <c r="AG369" s="5">
        <v>11</v>
      </c>
      <c r="AH369" s="5">
        <v>11</v>
      </c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>
        <f t="shared" ref="AW369:AW378" si="91">IF(OR($K369=1,$L369="Yes"),SUM(AX369:BM369),0)</f>
        <v>0</v>
      </c>
      <c r="AX369" s="5">
        <v>15</v>
      </c>
      <c r="AY369" s="5">
        <v>15</v>
      </c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36" t="s">
        <v>96</v>
      </c>
      <c r="BO369" s="5">
        <v>16.5</v>
      </c>
      <c r="BP369" s="5" t="s">
        <v>174</v>
      </c>
      <c r="BQ369" s="8">
        <v>43542</v>
      </c>
      <c r="BR369" s="5"/>
      <c r="BS369" s="27">
        <f t="shared" ref="BS369:BS378" si="92">E369/(IF(I369=0,G369,I369)/100)</f>
        <v>10193.679918450562</v>
      </c>
      <c r="BT369" s="37">
        <f t="shared" ref="BT369:BT378" si="93">F369/400/SQRT(3)</f>
        <v>15.877132402714709</v>
      </c>
      <c r="BU369" s="53">
        <v>99999999</v>
      </c>
      <c r="BV369" s="38">
        <v>99999999</v>
      </c>
      <c r="BW369" s="38">
        <v>99999999</v>
      </c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5"/>
      <c r="CM369" s="9" t="s">
        <v>134</v>
      </c>
    </row>
    <row r="370" spans="1:91" ht="15.6" x14ac:dyDescent="0.3">
      <c r="A370" s="5" t="s">
        <v>452</v>
      </c>
      <c r="B370" s="5" t="s">
        <v>109</v>
      </c>
      <c r="C370" s="5">
        <v>12000</v>
      </c>
      <c r="D370" s="5">
        <v>12000</v>
      </c>
      <c r="E370" s="5">
        <f>D370*[1]Rentabiliteit!$V$74</f>
        <v>12000</v>
      </c>
      <c r="F370" s="5">
        <v>13200</v>
      </c>
      <c r="G370" s="5">
        <v>98.6</v>
      </c>
      <c r="H370" s="5">
        <v>98.1</v>
      </c>
      <c r="I370" s="14">
        <v>98.1</v>
      </c>
      <c r="J370" s="5">
        <v>2</v>
      </c>
      <c r="K370" s="5" t="s">
        <v>113</v>
      </c>
      <c r="L370" s="5">
        <v>1</v>
      </c>
      <c r="M370" s="5">
        <v>1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>
        <v>250</v>
      </c>
      <c r="AC370" s="5">
        <v>470</v>
      </c>
      <c r="AD370" s="5">
        <v>850</v>
      </c>
      <c r="AE370" s="5">
        <v>1100</v>
      </c>
      <c r="AF370" s="5">
        <f t="shared" si="90"/>
        <v>0</v>
      </c>
      <c r="AG370" s="5">
        <v>11</v>
      </c>
      <c r="AH370" s="5">
        <v>11</v>
      </c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>
        <f t="shared" si="91"/>
        <v>0</v>
      </c>
      <c r="AX370" s="5">
        <v>15</v>
      </c>
      <c r="AY370" s="5">
        <v>15</v>
      </c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36" t="s">
        <v>96</v>
      </c>
      <c r="BO370" s="5">
        <v>20</v>
      </c>
      <c r="BP370" s="5" t="s">
        <v>174</v>
      </c>
      <c r="BQ370" s="8">
        <v>43542</v>
      </c>
      <c r="BR370" s="5"/>
      <c r="BS370" s="27">
        <f t="shared" si="92"/>
        <v>12232.415902140672</v>
      </c>
      <c r="BT370" s="37">
        <f t="shared" si="93"/>
        <v>19.05255888325765</v>
      </c>
      <c r="BU370" s="53">
        <v>99999999</v>
      </c>
      <c r="BV370" s="38">
        <v>99999999</v>
      </c>
      <c r="BW370" s="38">
        <v>99999999</v>
      </c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5"/>
      <c r="CM370" s="9" t="s">
        <v>134</v>
      </c>
    </row>
    <row r="371" spans="1:91" ht="15.6" x14ac:dyDescent="0.3">
      <c r="A371" s="5" t="s">
        <v>453</v>
      </c>
      <c r="B371" s="5" t="s">
        <v>109</v>
      </c>
      <c r="C371" s="5">
        <v>15000</v>
      </c>
      <c r="D371" s="5">
        <v>16500</v>
      </c>
      <c r="E371" s="5">
        <f>D371*[1]Rentabiliteit!$V$74</f>
        <v>16500</v>
      </c>
      <c r="F371" s="5">
        <v>16500</v>
      </c>
      <c r="G371" s="5">
        <v>98.6</v>
      </c>
      <c r="H371" s="5">
        <v>98.3</v>
      </c>
      <c r="I371" s="14">
        <v>98.3</v>
      </c>
      <c r="J371" s="5">
        <v>2</v>
      </c>
      <c r="K371" s="5" t="s">
        <v>113</v>
      </c>
      <c r="L371" s="5">
        <v>2</v>
      </c>
      <c r="M371" s="5">
        <v>2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>
        <v>250</v>
      </c>
      <c r="AC371" s="5">
        <v>380</v>
      </c>
      <c r="AD371" s="5">
        <v>850</v>
      </c>
      <c r="AE371" s="5">
        <v>1100</v>
      </c>
      <c r="AF371" s="5">
        <f t="shared" si="90"/>
        <v>0</v>
      </c>
      <c r="AG371" s="5">
        <v>22</v>
      </c>
      <c r="AH371" s="5">
        <v>22</v>
      </c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>
        <f t="shared" si="91"/>
        <v>0</v>
      </c>
      <c r="AX371" s="5">
        <v>30</v>
      </c>
      <c r="AY371" s="5">
        <v>30</v>
      </c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36" t="s">
        <v>96</v>
      </c>
      <c r="BO371" s="5">
        <v>24</v>
      </c>
      <c r="BP371" s="5" t="s">
        <v>174</v>
      </c>
      <c r="BQ371" s="8">
        <v>43542</v>
      </c>
      <c r="BR371" s="5"/>
      <c r="BS371" s="27">
        <f t="shared" si="92"/>
        <v>16785.350966429298</v>
      </c>
      <c r="BT371" s="37">
        <f t="shared" si="93"/>
        <v>23.815698604072065</v>
      </c>
      <c r="BU371" s="53">
        <v>99999999</v>
      </c>
      <c r="BV371" s="38">
        <v>99999999</v>
      </c>
      <c r="BW371" s="38">
        <v>99999999</v>
      </c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>
        <v>0</v>
      </c>
      <c r="CM371" s="9" t="s">
        <v>134</v>
      </c>
    </row>
    <row r="372" spans="1:91" ht="15.6" x14ac:dyDescent="0.3">
      <c r="A372" s="5" t="s">
        <v>454</v>
      </c>
      <c r="B372" s="5" t="s">
        <v>109</v>
      </c>
      <c r="C372" s="5">
        <v>20000</v>
      </c>
      <c r="D372" s="5">
        <v>22000</v>
      </c>
      <c r="E372" s="5">
        <f>D372*[1]Rentabiliteit!$V$74</f>
        <v>22000</v>
      </c>
      <c r="F372" s="5">
        <v>22000</v>
      </c>
      <c r="G372" s="5">
        <v>98.6</v>
      </c>
      <c r="H372" s="5">
        <v>98.3</v>
      </c>
      <c r="I372" s="14">
        <v>98.3</v>
      </c>
      <c r="J372" s="5">
        <v>2</v>
      </c>
      <c r="K372" s="5" t="s">
        <v>113</v>
      </c>
      <c r="L372" s="5">
        <v>2</v>
      </c>
      <c r="M372" s="5">
        <v>2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>
        <v>250</v>
      </c>
      <c r="AC372" s="5">
        <v>480</v>
      </c>
      <c r="AD372" s="5">
        <v>850</v>
      </c>
      <c r="AE372" s="5">
        <v>1100</v>
      </c>
      <c r="AF372" s="5">
        <f t="shared" si="90"/>
        <v>0</v>
      </c>
      <c r="AG372" s="5">
        <v>22</v>
      </c>
      <c r="AH372" s="5">
        <v>22</v>
      </c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>
        <f t="shared" si="91"/>
        <v>0</v>
      </c>
      <c r="AX372" s="5">
        <v>30</v>
      </c>
      <c r="AY372" s="5">
        <v>30</v>
      </c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36" t="s">
        <v>96</v>
      </c>
      <c r="BO372" s="5">
        <v>24</v>
      </c>
      <c r="BP372" s="5" t="s">
        <v>174</v>
      </c>
      <c r="BQ372" s="8">
        <v>43542</v>
      </c>
      <c r="BR372" s="5"/>
      <c r="BS372" s="27">
        <f t="shared" si="92"/>
        <v>22380.467955239066</v>
      </c>
      <c r="BT372" s="37">
        <f t="shared" si="93"/>
        <v>31.754264805429418</v>
      </c>
      <c r="BU372" s="53">
        <v>99999999</v>
      </c>
      <c r="BV372" s="38">
        <v>99999999</v>
      </c>
      <c r="BW372" s="38">
        <v>99999999</v>
      </c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>
        <v>0</v>
      </c>
      <c r="CM372" s="9" t="s">
        <v>134</v>
      </c>
    </row>
    <row r="373" spans="1:91" ht="15.6" x14ac:dyDescent="0.3">
      <c r="A373" s="29" t="s">
        <v>455</v>
      </c>
      <c r="B373" s="16" t="s">
        <v>109</v>
      </c>
      <c r="C373" s="29">
        <v>33000</v>
      </c>
      <c r="D373" s="29">
        <v>36300</v>
      </c>
      <c r="E373" s="29">
        <f>D373*[1]Rentabiliteit!$V$74</f>
        <v>36300</v>
      </c>
      <c r="F373" s="29">
        <v>36300</v>
      </c>
      <c r="G373" s="29">
        <v>98.6</v>
      </c>
      <c r="H373" s="29">
        <v>98.3</v>
      </c>
      <c r="I373" s="37">
        <v>98.39</v>
      </c>
      <c r="J373" s="29">
        <v>3</v>
      </c>
      <c r="K373" s="5" t="s">
        <v>96</v>
      </c>
      <c r="L373" s="29">
        <v>2</v>
      </c>
      <c r="M373" s="29">
        <v>2</v>
      </c>
      <c r="N373" s="29">
        <v>2</v>
      </c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>
        <v>250</v>
      </c>
      <c r="AC373" s="29">
        <v>200</v>
      </c>
      <c r="AD373" s="29">
        <v>850</v>
      </c>
      <c r="AE373" s="29">
        <v>1100</v>
      </c>
      <c r="AF373" s="5">
        <f t="shared" ref="AF373:AF375" si="94">IF(OR($K373=1,$L373="Yes"),SUM(AG373:AV373),0)</f>
        <v>0</v>
      </c>
      <c r="AG373" s="5">
        <v>26</v>
      </c>
      <c r="AH373" s="5">
        <v>26</v>
      </c>
      <c r="AI373" s="5">
        <v>26</v>
      </c>
      <c r="AJ373" s="5"/>
      <c r="AK373" s="5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5">
        <f t="shared" si="91"/>
        <v>0</v>
      </c>
      <c r="AX373" s="5">
        <v>40</v>
      </c>
      <c r="AY373" s="5">
        <v>40</v>
      </c>
      <c r="AZ373" s="5">
        <v>40</v>
      </c>
      <c r="BA373" s="5"/>
      <c r="BB373" s="5"/>
      <c r="BC373" s="29"/>
      <c r="BD373" s="29"/>
      <c r="BE373" s="29"/>
      <c r="BF373" s="29"/>
      <c r="BG373" s="29"/>
      <c r="BH373" s="29"/>
      <c r="BI373" s="29"/>
      <c r="BJ373" s="19"/>
      <c r="BK373" s="29"/>
      <c r="BL373" s="29"/>
      <c r="BM373" s="29"/>
      <c r="BN373" s="32" t="s">
        <v>96</v>
      </c>
      <c r="BO373" s="29">
        <v>55.2</v>
      </c>
      <c r="BP373" s="29" t="s">
        <v>174</v>
      </c>
      <c r="BQ373" s="19">
        <v>43560</v>
      </c>
      <c r="BR373" s="29"/>
      <c r="BS373" s="34">
        <f t="shared" si="92"/>
        <v>36893.993292001222</v>
      </c>
      <c r="BT373" s="37">
        <f t="shared" ref="BT373:BT375" si="95">F373/800/SQRT(3)</f>
        <v>26.197268464479272</v>
      </c>
      <c r="BU373" s="53">
        <v>99999999</v>
      </c>
      <c r="BV373" s="38">
        <v>99999999</v>
      </c>
      <c r="BW373" s="38">
        <v>99999999</v>
      </c>
      <c r="BX373" s="38">
        <v>99999999</v>
      </c>
      <c r="BY373" s="29"/>
      <c r="BZ373" s="29"/>
      <c r="CA373" s="29"/>
      <c r="CB373" s="29"/>
      <c r="CC373" s="29"/>
      <c r="CD373" s="29"/>
      <c r="CE373" s="29"/>
      <c r="CF373" s="29"/>
      <c r="CG373" s="29"/>
      <c r="CH373" s="29"/>
      <c r="CI373" s="29"/>
      <c r="CJ373" s="29"/>
      <c r="CK373" s="29"/>
      <c r="CL373" s="27">
        <v>0</v>
      </c>
      <c r="CM373" s="9" t="s">
        <v>265</v>
      </c>
    </row>
    <row r="374" spans="1:91" ht="15.6" x14ac:dyDescent="0.3">
      <c r="A374" s="29" t="s">
        <v>456</v>
      </c>
      <c r="B374" s="16" t="s">
        <v>109</v>
      </c>
      <c r="C374" s="29">
        <v>40000</v>
      </c>
      <c r="D374" s="29">
        <v>44000</v>
      </c>
      <c r="E374" s="29">
        <f>D374*[1]Rentabiliteit!$V$74</f>
        <v>44000</v>
      </c>
      <c r="F374" s="29">
        <v>44000</v>
      </c>
      <c r="G374" s="29">
        <v>98.6</v>
      </c>
      <c r="H374" s="29">
        <v>98.3</v>
      </c>
      <c r="I374" s="37">
        <v>98.43</v>
      </c>
      <c r="J374" s="29">
        <v>4</v>
      </c>
      <c r="K374" s="5" t="s">
        <v>96</v>
      </c>
      <c r="L374" s="29">
        <v>2</v>
      </c>
      <c r="M374" s="29">
        <v>2</v>
      </c>
      <c r="N374" s="29">
        <v>2</v>
      </c>
      <c r="O374" s="29">
        <v>2</v>
      </c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>
        <v>250</v>
      </c>
      <c r="AC374" s="29">
        <v>200</v>
      </c>
      <c r="AD374" s="29">
        <v>850</v>
      </c>
      <c r="AE374" s="29">
        <v>1100</v>
      </c>
      <c r="AF374" s="5">
        <f t="shared" si="94"/>
        <v>0</v>
      </c>
      <c r="AG374" s="5">
        <v>26</v>
      </c>
      <c r="AH374" s="5">
        <v>26</v>
      </c>
      <c r="AI374" s="5">
        <v>26</v>
      </c>
      <c r="AJ374" s="5">
        <v>26</v>
      </c>
      <c r="AK374" s="5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5">
        <f t="shared" si="91"/>
        <v>0</v>
      </c>
      <c r="AX374" s="5">
        <v>40</v>
      </c>
      <c r="AY374" s="5">
        <v>40</v>
      </c>
      <c r="AZ374" s="5">
        <v>40</v>
      </c>
      <c r="BA374" s="5">
        <v>40</v>
      </c>
      <c r="BB374" s="5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32" t="s">
        <v>96</v>
      </c>
      <c r="BO374" s="29">
        <v>66.900000000000006</v>
      </c>
      <c r="BP374" s="29" t="s">
        <v>174</v>
      </c>
      <c r="BQ374" s="19">
        <v>43560</v>
      </c>
      <c r="BR374" s="29"/>
      <c r="BS374" s="34">
        <f t="shared" si="92"/>
        <v>44701.818551254699</v>
      </c>
      <c r="BT374" s="37">
        <f t="shared" si="95"/>
        <v>31.754264805429418</v>
      </c>
      <c r="BU374" s="53">
        <v>99999999</v>
      </c>
      <c r="BV374" s="38">
        <v>99999999</v>
      </c>
      <c r="BW374" s="38">
        <v>99999999</v>
      </c>
      <c r="BX374" s="38">
        <v>99999999</v>
      </c>
      <c r="BY374" s="38">
        <v>99999999</v>
      </c>
      <c r="BZ374" s="29"/>
      <c r="CA374" s="29"/>
      <c r="CB374" s="29"/>
      <c r="CC374" s="29"/>
      <c r="CD374" s="29"/>
      <c r="CE374" s="29"/>
      <c r="CF374" s="29"/>
      <c r="CG374" s="29"/>
      <c r="CH374" s="29"/>
      <c r="CI374" s="29"/>
      <c r="CJ374" s="29"/>
      <c r="CK374" s="29"/>
      <c r="CL374" s="27">
        <v>0</v>
      </c>
      <c r="CM374" s="9" t="s">
        <v>265</v>
      </c>
    </row>
    <row r="375" spans="1:91" ht="15.6" x14ac:dyDescent="0.3">
      <c r="A375" s="29" t="s">
        <v>457</v>
      </c>
      <c r="B375" s="16" t="s">
        <v>109</v>
      </c>
      <c r="C375" s="29">
        <v>50000</v>
      </c>
      <c r="D375" s="29">
        <v>55000</v>
      </c>
      <c r="E375" s="29">
        <f>D375*[1]Rentabiliteit!$V$74</f>
        <v>55000</v>
      </c>
      <c r="F375" s="29">
        <v>55000</v>
      </c>
      <c r="G375" s="29">
        <v>98.7</v>
      </c>
      <c r="H375" s="29">
        <v>98.4</v>
      </c>
      <c r="I375" s="37">
        <v>98.49</v>
      </c>
      <c r="J375" s="29">
        <v>5</v>
      </c>
      <c r="K375" s="5" t="s">
        <v>96</v>
      </c>
      <c r="L375" s="29">
        <v>2</v>
      </c>
      <c r="M375" s="29">
        <v>2</v>
      </c>
      <c r="N375" s="29">
        <v>2</v>
      </c>
      <c r="O375" s="29">
        <v>2</v>
      </c>
      <c r="P375" s="29">
        <v>2</v>
      </c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>
        <v>250</v>
      </c>
      <c r="AC375" s="29">
        <v>200</v>
      </c>
      <c r="AD375" s="29">
        <v>850</v>
      </c>
      <c r="AE375" s="29">
        <v>1100</v>
      </c>
      <c r="AF375" s="5">
        <f t="shared" si="94"/>
        <v>0</v>
      </c>
      <c r="AG375" s="5">
        <v>26</v>
      </c>
      <c r="AH375" s="5">
        <v>26</v>
      </c>
      <c r="AI375" s="5">
        <v>26</v>
      </c>
      <c r="AJ375" s="5">
        <v>26</v>
      </c>
      <c r="AK375" s="5">
        <v>26</v>
      </c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5">
        <f t="shared" si="91"/>
        <v>0</v>
      </c>
      <c r="AX375" s="5">
        <v>40</v>
      </c>
      <c r="AY375" s="5">
        <v>40</v>
      </c>
      <c r="AZ375" s="5">
        <v>40</v>
      </c>
      <c r="BA375" s="5">
        <v>40</v>
      </c>
      <c r="BB375" s="5">
        <v>40</v>
      </c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32" t="s">
        <v>96</v>
      </c>
      <c r="BO375" s="29">
        <v>83.6</v>
      </c>
      <c r="BP375" s="29" t="s">
        <v>174</v>
      </c>
      <c r="BQ375" s="19">
        <v>43560</v>
      </c>
      <c r="BR375" s="29"/>
      <c r="BS375" s="34">
        <f t="shared" si="92"/>
        <v>55843.232815514268</v>
      </c>
      <c r="BT375" s="37">
        <f t="shared" si="95"/>
        <v>39.692831006786776</v>
      </c>
      <c r="BU375" s="53">
        <v>99999999</v>
      </c>
      <c r="BV375" s="38">
        <v>99999999</v>
      </c>
      <c r="BW375" s="38">
        <v>99999999</v>
      </c>
      <c r="BX375" s="38">
        <v>99999999</v>
      </c>
      <c r="BY375" s="38">
        <v>99999999</v>
      </c>
      <c r="BZ375" s="38">
        <v>99999999</v>
      </c>
      <c r="CA375" s="29"/>
      <c r="CB375" s="29"/>
      <c r="CC375" s="29"/>
      <c r="CD375" s="29"/>
      <c r="CE375" s="29"/>
      <c r="CF375" s="29"/>
      <c r="CG375" s="29"/>
      <c r="CH375" s="29"/>
      <c r="CI375" s="29"/>
      <c r="CJ375" s="29"/>
      <c r="CK375" s="29"/>
      <c r="CL375" s="27">
        <v>0</v>
      </c>
      <c r="CM375" s="9" t="s">
        <v>265</v>
      </c>
    </row>
    <row r="376" spans="1:91" ht="15.6" x14ac:dyDescent="0.3">
      <c r="A376" s="28" t="s">
        <v>458</v>
      </c>
      <c r="B376" s="5" t="s">
        <v>109</v>
      </c>
      <c r="C376" s="28">
        <v>60000</v>
      </c>
      <c r="D376" s="28">
        <v>66000</v>
      </c>
      <c r="E376" s="28">
        <f>D376*[1]Rentabiliteit!$V$74</f>
        <v>66000</v>
      </c>
      <c r="F376" s="28">
        <v>66000</v>
      </c>
      <c r="G376" s="37">
        <v>98.9</v>
      </c>
      <c r="H376" s="37">
        <v>98.7</v>
      </c>
      <c r="I376" s="37">
        <v>97.9</v>
      </c>
      <c r="J376" s="28">
        <v>1</v>
      </c>
      <c r="K376" s="5" t="s">
        <v>95</v>
      </c>
      <c r="L376" s="28">
        <v>14</v>
      </c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>
        <v>620</v>
      </c>
      <c r="AC376" s="28">
        <v>570</v>
      </c>
      <c r="AD376" s="28">
        <v>850</v>
      </c>
      <c r="AE376" s="28">
        <v>1000</v>
      </c>
      <c r="AF376" s="5">
        <f t="shared" si="90"/>
        <v>0</v>
      </c>
      <c r="AG376" s="5">
        <v>120</v>
      </c>
      <c r="AH376" s="5"/>
      <c r="AI376" s="5"/>
      <c r="AJ376" s="5"/>
      <c r="AK376" s="5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5">
        <f t="shared" si="91"/>
        <v>0</v>
      </c>
      <c r="AX376" s="5">
        <v>140</v>
      </c>
      <c r="AY376" s="5"/>
      <c r="AZ376" s="5"/>
      <c r="BA376" s="5"/>
      <c r="BB376" s="5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36" t="s">
        <v>96</v>
      </c>
      <c r="BO376" s="37">
        <v>96</v>
      </c>
      <c r="BP376" s="28" t="s">
        <v>97</v>
      </c>
      <c r="BQ376" s="54">
        <v>43384</v>
      </c>
      <c r="BR376" s="28"/>
      <c r="BS376" s="27">
        <f t="shared" si="92"/>
        <v>67415.730337078639</v>
      </c>
      <c r="BT376" s="37">
        <f t="shared" si="93"/>
        <v>95.262794416288259</v>
      </c>
      <c r="BU376" s="53">
        <v>99999999</v>
      </c>
      <c r="BV376" s="38">
        <v>99999999</v>
      </c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>
        <v>0</v>
      </c>
      <c r="CM376" s="9" t="s">
        <v>98</v>
      </c>
    </row>
    <row r="377" spans="1:91" ht="15.6" x14ac:dyDescent="0.3">
      <c r="A377" s="28" t="s">
        <v>459</v>
      </c>
      <c r="B377" s="5" t="s">
        <v>109</v>
      </c>
      <c r="C377" s="28">
        <v>60000</v>
      </c>
      <c r="D377" s="28">
        <v>66000</v>
      </c>
      <c r="E377" s="28">
        <f>D377*[1]Rentabiliteit!$V$74</f>
        <v>66000</v>
      </c>
      <c r="F377" s="28">
        <v>66000</v>
      </c>
      <c r="G377" s="37">
        <v>98.9</v>
      </c>
      <c r="H377" s="37">
        <v>98.7</v>
      </c>
      <c r="I377" s="37">
        <v>97.9</v>
      </c>
      <c r="J377" s="28">
        <v>1</v>
      </c>
      <c r="K377" s="5" t="s">
        <v>95</v>
      </c>
      <c r="L377" s="28">
        <v>9999999</v>
      </c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>
        <v>620</v>
      </c>
      <c r="AC377" s="28">
        <v>570</v>
      </c>
      <c r="AD377" s="28">
        <v>850</v>
      </c>
      <c r="AE377" s="28">
        <v>1000</v>
      </c>
      <c r="AF377" s="5">
        <f t="shared" si="90"/>
        <v>0</v>
      </c>
      <c r="AG377" s="28">
        <v>120</v>
      </c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5">
        <f t="shared" si="91"/>
        <v>0</v>
      </c>
      <c r="AX377" s="28">
        <v>140</v>
      </c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36" t="s">
        <v>96</v>
      </c>
      <c r="BO377" s="37">
        <v>96</v>
      </c>
      <c r="BP377" s="28" t="s">
        <v>174</v>
      </c>
      <c r="BQ377" s="54">
        <v>43560</v>
      </c>
      <c r="BR377" s="28"/>
      <c r="BS377" s="27">
        <f t="shared" si="92"/>
        <v>67415.730337078639</v>
      </c>
      <c r="BT377" s="37">
        <f t="shared" si="93"/>
        <v>95.262794416288259</v>
      </c>
      <c r="BU377" s="53">
        <v>99999999</v>
      </c>
      <c r="BV377" s="38">
        <v>99999999</v>
      </c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>
        <v>0</v>
      </c>
      <c r="CM377" s="9" t="s">
        <v>98</v>
      </c>
    </row>
    <row r="378" spans="1:91" ht="15.6" x14ac:dyDescent="0.3">
      <c r="A378" s="28" t="s">
        <v>460</v>
      </c>
      <c r="B378" s="5" t="s">
        <v>109</v>
      </c>
      <c r="C378" s="28">
        <v>80000</v>
      </c>
      <c r="D378" s="28">
        <v>80000</v>
      </c>
      <c r="E378" s="28">
        <f>D378*[1]Rentabiliteit!$V$74</f>
        <v>80000</v>
      </c>
      <c r="F378" s="28">
        <v>80000</v>
      </c>
      <c r="G378" s="37">
        <v>98.9</v>
      </c>
      <c r="H378" s="37">
        <v>98.7</v>
      </c>
      <c r="I378" s="37">
        <v>98.2</v>
      </c>
      <c r="J378" s="28">
        <v>1</v>
      </c>
      <c r="K378" s="5" t="s">
        <v>95</v>
      </c>
      <c r="L378" s="28">
        <v>18</v>
      </c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>
        <v>620</v>
      </c>
      <c r="AC378" s="28">
        <v>570</v>
      </c>
      <c r="AD378" s="28">
        <v>850</v>
      </c>
      <c r="AE378" s="28">
        <v>1100</v>
      </c>
      <c r="AF378" s="5">
        <f t="shared" si="90"/>
        <v>0</v>
      </c>
      <c r="AG378" s="28">
        <v>144</v>
      </c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5">
        <f t="shared" si="91"/>
        <v>0</v>
      </c>
      <c r="AX378" s="28">
        <v>200</v>
      </c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36" t="s">
        <v>96</v>
      </c>
      <c r="BO378" s="37">
        <v>116</v>
      </c>
      <c r="BP378" s="28" t="s">
        <v>97</v>
      </c>
      <c r="BQ378" s="54">
        <v>43238</v>
      </c>
      <c r="BR378" s="28"/>
      <c r="BS378" s="27">
        <f t="shared" si="92"/>
        <v>81466.395112016296</v>
      </c>
      <c r="BT378" s="37">
        <f t="shared" si="93"/>
        <v>115.47005383792516</v>
      </c>
      <c r="BU378" s="53">
        <v>99999999</v>
      </c>
      <c r="BV378" s="38">
        <v>99999999</v>
      </c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>
        <v>0</v>
      </c>
      <c r="CM378" s="9" t="s">
        <v>265</v>
      </c>
    </row>
    <row r="379" spans="1:91" ht="15.6" x14ac:dyDescent="0.3">
      <c r="A379" s="5" t="s">
        <v>122</v>
      </c>
      <c r="B379" s="22"/>
      <c r="C379" s="5"/>
      <c r="D379" s="5"/>
      <c r="E379" s="5"/>
      <c r="F379" s="5"/>
      <c r="G379" s="6"/>
      <c r="H379" s="6"/>
      <c r="I379" s="6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6"/>
      <c r="BP379" s="5"/>
      <c r="BQ379" s="8"/>
      <c r="BR379" s="5"/>
      <c r="BS379" s="9">
        <v>9999999</v>
      </c>
      <c r="BT379" s="6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9"/>
      <c r="CM379" s="9"/>
    </row>
    <row r="380" spans="1:91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2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12"/>
      <c r="CM380" s="12"/>
    </row>
    <row r="381" spans="1:91" ht="15.6" x14ac:dyDescent="0.3">
      <c r="A381" s="1" t="s">
        <v>461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11"/>
      <c r="BS381" s="12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</row>
    <row r="382" spans="1:91" x14ac:dyDescent="0.3">
      <c r="A382" s="5" t="s">
        <v>1</v>
      </c>
      <c r="B382" s="5" t="s">
        <v>2</v>
      </c>
      <c r="C382" s="5" t="s">
        <v>3</v>
      </c>
      <c r="D382" s="5" t="s">
        <v>4</v>
      </c>
      <c r="E382" s="5" t="s">
        <v>5</v>
      </c>
      <c r="F382" s="5" t="s">
        <v>6</v>
      </c>
      <c r="G382" s="5" t="s">
        <v>7</v>
      </c>
      <c r="H382" s="5" t="s">
        <v>8</v>
      </c>
      <c r="I382" s="5" t="s">
        <v>9</v>
      </c>
      <c r="J382" s="5" t="s">
        <v>10</v>
      </c>
      <c r="K382" s="5" t="s">
        <v>11</v>
      </c>
      <c r="L382" s="5" t="s">
        <v>12</v>
      </c>
      <c r="M382" s="5" t="s">
        <v>13</v>
      </c>
      <c r="N382" s="5" t="s">
        <v>14</v>
      </c>
      <c r="O382" s="5" t="s">
        <v>15</v>
      </c>
      <c r="P382" s="5" t="s">
        <v>16</v>
      </c>
      <c r="Q382" s="5" t="s">
        <v>17</v>
      </c>
      <c r="R382" s="5" t="s">
        <v>18</v>
      </c>
      <c r="S382" s="5" t="s">
        <v>19</v>
      </c>
      <c r="T382" s="5" t="s">
        <v>20</v>
      </c>
      <c r="U382" s="5" t="s">
        <v>21</v>
      </c>
      <c r="V382" s="5" t="s">
        <v>22</v>
      </c>
      <c r="W382" s="5" t="s">
        <v>23</v>
      </c>
      <c r="X382" s="5" t="s">
        <v>24</v>
      </c>
      <c r="Y382" s="5" t="s">
        <v>25</v>
      </c>
      <c r="Z382" s="5" t="s">
        <v>26</v>
      </c>
      <c r="AA382" s="5" t="s">
        <v>27</v>
      </c>
      <c r="AB382" s="5" t="s">
        <v>28</v>
      </c>
      <c r="AC382" s="5" t="s">
        <v>29</v>
      </c>
      <c r="AD382" s="5" t="s">
        <v>30</v>
      </c>
      <c r="AE382" s="5" t="s">
        <v>31</v>
      </c>
      <c r="AF382" s="5" t="s">
        <v>32</v>
      </c>
      <c r="AG382" s="5" t="s">
        <v>33</v>
      </c>
      <c r="AH382" s="5" t="s">
        <v>34</v>
      </c>
      <c r="AI382" s="5" t="s">
        <v>35</v>
      </c>
      <c r="AJ382" s="5" t="s">
        <v>36</v>
      </c>
      <c r="AK382" s="5" t="s">
        <v>37</v>
      </c>
      <c r="AL382" s="5" t="s">
        <v>38</v>
      </c>
      <c r="AM382" s="5" t="s">
        <v>39</v>
      </c>
      <c r="AN382" s="5" t="s">
        <v>40</v>
      </c>
      <c r="AO382" s="5" t="s">
        <v>41</v>
      </c>
      <c r="AP382" s="5" t="s">
        <v>42</v>
      </c>
      <c r="AQ382" s="5" t="s">
        <v>43</v>
      </c>
      <c r="AR382" s="5" t="s">
        <v>44</v>
      </c>
      <c r="AS382" s="5" t="s">
        <v>45</v>
      </c>
      <c r="AT382" s="5" t="s">
        <v>46</v>
      </c>
      <c r="AU382" s="5" t="s">
        <v>47</v>
      </c>
      <c r="AV382" s="5" t="s">
        <v>48</v>
      </c>
      <c r="AW382" s="5" t="s">
        <v>49</v>
      </c>
      <c r="AX382" s="5" t="s">
        <v>50</v>
      </c>
      <c r="AY382" s="5" t="s">
        <v>51</v>
      </c>
      <c r="AZ382" s="5" t="s">
        <v>52</v>
      </c>
      <c r="BA382" s="5" t="s">
        <v>53</v>
      </c>
      <c r="BB382" s="5" t="s">
        <v>54</v>
      </c>
      <c r="BC382" s="5" t="s">
        <v>55</v>
      </c>
      <c r="BD382" s="5" t="s">
        <v>56</v>
      </c>
      <c r="BE382" s="5" t="s">
        <v>57</v>
      </c>
      <c r="BF382" s="5" t="s">
        <v>58</v>
      </c>
      <c r="BG382" s="5" t="s">
        <v>59</v>
      </c>
      <c r="BH382" s="5" t="s">
        <v>60</v>
      </c>
      <c r="BI382" s="5" t="s">
        <v>61</v>
      </c>
      <c r="BJ382" s="5" t="s">
        <v>62</v>
      </c>
      <c r="BK382" s="5" t="s">
        <v>63</v>
      </c>
      <c r="BL382" s="5" t="s">
        <v>64</v>
      </c>
      <c r="BM382" s="5" t="s">
        <v>65</v>
      </c>
      <c r="BN382" s="5" t="s">
        <v>66</v>
      </c>
      <c r="BO382" s="5" t="s">
        <v>67</v>
      </c>
      <c r="BP382" s="5" t="s">
        <v>68</v>
      </c>
      <c r="BQ382" s="5" t="s">
        <v>69</v>
      </c>
      <c r="BR382" s="5" t="s">
        <v>70</v>
      </c>
      <c r="BS382" s="5" t="s">
        <v>71</v>
      </c>
      <c r="BT382" s="5" t="s">
        <v>72</v>
      </c>
      <c r="BU382" s="5" t="s">
        <v>73</v>
      </c>
      <c r="BV382" s="5" t="s">
        <v>74</v>
      </c>
      <c r="BW382" s="5" t="s">
        <v>75</v>
      </c>
      <c r="BX382" s="5" t="s">
        <v>76</v>
      </c>
      <c r="BY382" s="5" t="s">
        <v>77</v>
      </c>
      <c r="BZ382" s="5" t="s">
        <v>78</v>
      </c>
      <c r="CA382" s="5" t="s">
        <v>79</v>
      </c>
      <c r="CB382" s="5" t="s">
        <v>80</v>
      </c>
      <c r="CC382" s="5" t="s">
        <v>81</v>
      </c>
      <c r="CD382" s="5" t="s">
        <v>82</v>
      </c>
      <c r="CE382" s="5" t="s">
        <v>83</v>
      </c>
      <c r="CF382" s="5" t="s">
        <v>84</v>
      </c>
      <c r="CG382" s="5" t="s">
        <v>85</v>
      </c>
      <c r="CH382" s="5" t="s">
        <v>86</v>
      </c>
      <c r="CI382" s="5" t="s">
        <v>87</v>
      </c>
      <c r="CJ382" s="5" t="s">
        <v>88</v>
      </c>
      <c r="CK382" s="5" t="s">
        <v>89</v>
      </c>
      <c r="CL382" s="5" t="s">
        <v>90</v>
      </c>
      <c r="CM382" s="5" t="s">
        <v>91</v>
      </c>
    </row>
    <row r="383" spans="1:91" x14ac:dyDescent="0.3">
      <c r="A383" s="5" t="s">
        <v>92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</row>
    <row r="384" spans="1:91" ht="15.6" x14ac:dyDescent="0.3">
      <c r="A384" s="5" t="s">
        <v>462</v>
      </c>
      <c r="B384" s="16" t="s">
        <v>109</v>
      </c>
      <c r="C384" s="5">
        <v>5000</v>
      </c>
      <c r="D384" s="5">
        <v>5000</v>
      </c>
      <c r="E384" s="29">
        <f>D384*[1]Rentabiliteit!$V$74</f>
        <v>5000</v>
      </c>
      <c r="F384" s="22">
        <v>5500</v>
      </c>
      <c r="G384" s="5">
        <v>98.4</v>
      </c>
      <c r="H384" s="5">
        <v>97.4</v>
      </c>
      <c r="I384" s="14"/>
      <c r="J384" s="5">
        <v>2</v>
      </c>
      <c r="K384" s="5" t="s">
        <v>113</v>
      </c>
      <c r="L384" s="5">
        <v>1</v>
      </c>
      <c r="M384" s="5">
        <v>1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29">
        <v>180</v>
      </c>
      <c r="AC384" s="29">
        <v>160</v>
      </c>
      <c r="AD384" s="29">
        <v>850</v>
      </c>
      <c r="AE384" s="29">
        <v>1100</v>
      </c>
      <c r="AF384" s="5">
        <f t="shared" ref="AF384:AF408" si="96">IF(OR($K384=1,$L384="Yes"),SUM(AG384:AV384),0)</f>
        <v>0</v>
      </c>
      <c r="AG384" s="5">
        <v>12.5</v>
      </c>
      <c r="AH384" s="5">
        <v>12.5</v>
      </c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>
        <f t="shared" ref="AW384:AW408" si="97">IF(OR($K384=1,$L384="Yes"),SUM(AX384:BM384),0)</f>
        <v>0</v>
      </c>
      <c r="AX384" s="5">
        <v>16</v>
      </c>
      <c r="AY384" s="5">
        <v>16</v>
      </c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32" t="s">
        <v>96</v>
      </c>
      <c r="BO384" s="5">
        <v>8.3000000000000007</v>
      </c>
      <c r="BP384" s="5" t="s">
        <v>133</v>
      </c>
      <c r="BQ384" s="8">
        <v>44372</v>
      </c>
      <c r="BR384" s="5"/>
      <c r="BS384" s="34">
        <f t="shared" ref="BS384:BS408" si="98">E384/(IF(I384=0,G384,I384)/100)</f>
        <v>5081.3008130081298</v>
      </c>
      <c r="BT384" s="37">
        <f>F384/400/SQRT(3)</f>
        <v>7.9385662013573546</v>
      </c>
      <c r="BU384" s="53">
        <v>99999999</v>
      </c>
      <c r="BV384" s="38">
        <v>99999999</v>
      </c>
      <c r="BW384" s="38">
        <v>99999999</v>
      </c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27">
        <v>0</v>
      </c>
      <c r="CM384" s="9" t="s">
        <v>200</v>
      </c>
    </row>
    <row r="385" spans="1:91" ht="15.6" x14ac:dyDescent="0.3">
      <c r="A385" s="5" t="s">
        <v>463</v>
      </c>
      <c r="B385" s="16" t="s">
        <v>109</v>
      </c>
      <c r="C385" s="5">
        <v>6000</v>
      </c>
      <c r="D385" s="5">
        <v>6000</v>
      </c>
      <c r="E385" s="29">
        <f>D385*[1]Rentabiliteit!$V$74</f>
        <v>6000</v>
      </c>
      <c r="F385" s="22">
        <v>6600</v>
      </c>
      <c r="G385" s="5">
        <v>98.4</v>
      </c>
      <c r="H385" s="5">
        <v>97.4</v>
      </c>
      <c r="I385" s="14"/>
      <c r="J385" s="5">
        <v>2</v>
      </c>
      <c r="K385" s="5" t="s">
        <v>113</v>
      </c>
      <c r="L385" s="5">
        <v>1</v>
      </c>
      <c r="M385" s="5">
        <v>1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29">
        <v>180</v>
      </c>
      <c r="AC385" s="29">
        <v>160</v>
      </c>
      <c r="AD385" s="29">
        <v>850</v>
      </c>
      <c r="AE385" s="29">
        <v>1100</v>
      </c>
      <c r="AF385" s="5">
        <f t="shared" si="96"/>
        <v>0</v>
      </c>
      <c r="AG385" s="5">
        <v>12.5</v>
      </c>
      <c r="AH385" s="5">
        <v>12.5</v>
      </c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>
        <f t="shared" si="97"/>
        <v>0</v>
      </c>
      <c r="AX385" s="5">
        <v>16</v>
      </c>
      <c r="AY385" s="5">
        <v>16</v>
      </c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32" t="s">
        <v>96</v>
      </c>
      <c r="BO385" s="5">
        <v>10</v>
      </c>
      <c r="BP385" s="5" t="s">
        <v>133</v>
      </c>
      <c r="BQ385" s="8">
        <v>44372</v>
      </c>
      <c r="BR385" s="5"/>
      <c r="BS385" s="34">
        <f t="shared" si="98"/>
        <v>6097.5609756097556</v>
      </c>
      <c r="BT385" s="37">
        <f t="shared" ref="BT385:BT402" si="99">F385/400/SQRT(3)</f>
        <v>9.5262794416288248</v>
      </c>
      <c r="BU385" s="53">
        <v>99999999</v>
      </c>
      <c r="BV385" s="38">
        <v>99999999</v>
      </c>
      <c r="BW385" s="38">
        <v>99999999</v>
      </c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27">
        <v>0</v>
      </c>
      <c r="CM385" s="9" t="s">
        <v>200</v>
      </c>
    </row>
    <row r="386" spans="1:91" ht="15.6" x14ac:dyDescent="0.3">
      <c r="A386" s="5" t="s">
        <v>464</v>
      </c>
      <c r="B386" s="16" t="s">
        <v>109</v>
      </c>
      <c r="C386" s="5">
        <v>7000</v>
      </c>
      <c r="D386" s="5">
        <v>7000</v>
      </c>
      <c r="E386" s="29">
        <f>D386*[1]Rentabiliteit!$V$74</f>
        <v>7000</v>
      </c>
      <c r="F386" s="22">
        <v>7700</v>
      </c>
      <c r="G386" s="5">
        <v>98.4</v>
      </c>
      <c r="H386" s="5">
        <v>97.7</v>
      </c>
      <c r="I386" s="14"/>
      <c r="J386" s="5">
        <v>2</v>
      </c>
      <c r="K386" s="5" t="s">
        <v>113</v>
      </c>
      <c r="L386" s="5">
        <v>2</v>
      </c>
      <c r="M386" s="5">
        <v>1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29">
        <v>180</v>
      </c>
      <c r="AC386" s="29">
        <v>160</v>
      </c>
      <c r="AD386" s="29">
        <v>850</v>
      </c>
      <c r="AE386" s="29">
        <v>1100</v>
      </c>
      <c r="AF386" s="5">
        <f t="shared" si="96"/>
        <v>0</v>
      </c>
      <c r="AG386" s="5">
        <v>25</v>
      </c>
      <c r="AH386" s="5">
        <v>12.5</v>
      </c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>
        <f t="shared" si="97"/>
        <v>0</v>
      </c>
      <c r="AX386" s="5">
        <v>32</v>
      </c>
      <c r="AY386" s="5">
        <v>16</v>
      </c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32" t="s">
        <v>96</v>
      </c>
      <c r="BO386" s="5">
        <v>11.7</v>
      </c>
      <c r="BP386" s="5" t="s">
        <v>133</v>
      </c>
      <c r="BQ386" s="8">
        <v>44372</v>
      </c>
      <c r="BR386" s="5"/>
      <c r="BS386" s="34">
        <f t="shared" si="98"/>
        <v>7113.8211382113814</v>
      </c>
      <c r="BT386" s="37">
        <f t="shared" si="99"/>
        <v>11.113992681900296</v>
      </c>
      <c r="BU386" s="53">
        <v>99999999</v>
      </c>
      <c r="BV386" s="38">
        <v>99999999</v>
      </c>
      <c r="BW386" s="38">
        <v>99999999</v>
      </c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27">
        <v>0</v>
      </c>
      <c r="CM386" s="9" t="s">
        <v>200</v>
      </c>
    </row>
    <row r="387" spans="1:91" ht="15.6" x14ac:dyDescent="0.3">
      <c r="A387" s="5" t="s">
        <v>465</v>
      </c>
      <c r="B387" s="16" t="s">
        <v>109</v>
      </c>
      <c r="C387" s="5">
        <v>8000</v>
      </c>
      <c r="D387" s="5">
        <v>8000</v>
      </c>
      <c r="E387" s="29">
        <f>D387*[1]Rentabiliteit!$V$74</f>
        <v>8000</v>
      </c>
      <c r="F387" s="22">
        <v>8800</v>
      </c>
      <c r="G387" s="5">
        <v>98.5</v>
      </c>
      <c r="H387" s="5">
        <v>97.8</v>
      </c>
      <c r="I387" s="14"/>
      <c r="J387" s="5">
        <v>2</v>
      </c>
      <c r="K387" s="5" t="s">
        <v>113</v>
      </c>
      <c r="L387" s="5">
        <v>2</v>
      </c>
      <c r="M387" s="5">
        <v>1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29">
        <v>180</v>
      </c>
      <c r="AC387" s="29">
        <v>160</v>
      </c>
      <c r="AD387" s="29">
        <v>850</v>
      </c>
      <c r="AE387" s="29">
        <v>1100</v>
      </c>
      <c r="AF387" s="5">
        <f t="shared" si="96"/>
        <v>0</v>
      </c>
      <c r="AG387" s="5">
        <v>25</v>
      </c>
      <c r="AH387" s="5">
        <v>12.5</v>
      </c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>
        <f t="shared" si="97"/>
        <v>0</v>
      </c>
      <c r="AX387" s="5">
        <v>32</v>
      </c>
      <c r="AY387" s="5">
        <v>16</v>
      </c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32" t="s">
        <v>96</v>
      </c>
      <c r="BO387" s="5">
        <v>13.3</v>
      </c>
      <c r="BP387" s="5" t="s">
        <v>133</v>
      </c>
      <c r="BQ387" s="8">
        <v>44372</v>
      </c>
      <c r="BR387" s="5"/>
      <c r="BS387" s="34">
        <f t="shared" si="98"/>
        <v>8121.8274111675128</v>
      </c>
      <c r="BT387" s="37">
        <f t="shared" si="99"/>
        <v>12.701705922171767</v>
      </c>
      <c r="BU387" s="53">
        <v>99999999</v>
      </c>
      <c r="BV387" s="38">
        <v>99999999</v>
      </c>
      <c r="BW387" s="38">
        <v>99999999</v>
      </c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27">
        <v>0</v>
      </c>
      <c r="CM387" s="9" t="s">
        <v>200</v>
      </c>
    </row>
    <row r="388" spans="1:91" ht="15.6" x14ac:dyDescent="0.3">
      <c r="A388" s="5" t="s">
        <v>466</v>
      </c>
      <c r="B388" s="16" t="s">
        <v>109</v>
      </c>
      <c r="C388" s="5">
        <v>10000</v>
      </c>
      <c r="D388" s="5">
        <v>10000</v>
      </c>
      <c r="E388" s="29">
        <f>D388*[1]Rentabiliteit!$V$74</f>
        <v>10000</v>
      </c>
      <c r="F388" s="22">
        <v>11000</v>
      </c>
      <c r="G388" s="5">
        <v>98.5</v>
      </c>
      <c r="H388" s="5">
        <v>97.9</v>
      </c>
      <c r="I388" s="14"/>
      <c r="J388" s="5">
        <v>2</v>
      </c>
      <c r="K388" s="5" t="s">
        <v>113</v>
      </c>
      <c r="L388" s="5">
        <v>2</v>
      </c>
      <c r="M388" s="5">
        <v>1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29">
        <v>180</v>
      </c>
      <c r="AC388" s="29">
        <v>160</v>
      </c>
      <c r="AD388" s="29">
        <v>850</v>
      </c>
      <c r="AE388" s="29">
        <v>1100</v>
      </c>
      <c r="AF388" s="5">
        <f t="shared" si="96"/>
        <v>0</v>
      </c>
      <c r="AG388" s="5">
        <v>25</v>
      </c>
      <c r="AH388" s="5">
        <v>12.5</v>
      </c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>
        <f t="shared" si="97"/>
        <v>0</v>
      </c>
      <c r="AX388" s="5">
        <v>32</v>
      </c>
      <c r="AY388" s="5">
        <v>16</v>
      </c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32" t="s">
        <v>96</v>
      </c>
      <c r="BO388" s="5">
        <v>16.7</v>
      </c>
      <c r="BP388" s="5" t="s">
        <v>133</v>
      </c>
      <c r="BQ388" s="8">
        <v>44372</v>
      </c>
      <c r="BR388" s="5"/>
      <c r="BS388" s="34">
        <f t="shared" si="98"/>
        <v>10152.284263959391</v>
      </c>
      <c r="BT388" s="37">
        <f t="shared" si="99"/>
        <v>15.877132402714709</v>
      </c>
      <c r="BU388" s="53">
        <v>99999999</v>
      </c>
      <c r="BV388" s="38">
        <v>99999999</v>
      </c>
      <c r="BW388" s="38">
        <v>99999999</v>
      </c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27">
        <v>0</v>
      </c>
      <c r="CM388" s="9" t="s">
        <v>200</v>
      </c>
    </row>
    <row r="389" spans="1:91" ht="15.6" x14ac:dyDescent="0.3">
      <c r="A389" s="5" t="s">
        <v>467</v>
      </c>
      <c r="B389" s="16" t="s">
        <v>109</v>
      </c>
      <c r="C389" s="5">
        <v>12000</v>
      </c>
      <c r="D389" s="5">
        <v>12000</v>
      </c>
      <c r="E389" s="29">
        <f>D389*[1]Rentabiliteit!$V$74</f>
        <v>12000</v>
      </c>
      <c r="F389" s="22">
        <v>13200</v>
      </c>
      <c r="G389" s="5">
        <v>98.5</v>
      </c>
      <c r="H389" s="5">
        <v>97.9</v>
      </c>
      <c r="I389" s="14"/>
      <c r="J389" s="5">
        <v>2</v>
      </c>
      <c r="K389" s="5" t="s">
        <v>113</v>
      </c>
      <c r="L389" s="5">
        <v>2</v>
      </c>
      <c r="M389" s="5">
        <v>1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29">
        <v>180</v>
      </c>
      <c r="AC389" s="29">
        <v>160</v>
      </c>
      <c r="AD389" s="29">
        <v>850</v>
      </c>
      <c r="AE389" s="29">
        <v>1100</v>
      </c>
      <c r="AF389" s="5">
        <f t="shared" si="96"/>
        <v>0</v>
      </c>
      <c r="AG389" s="5">
        <v>25</v>
      </c>
      <c r="AH389" s="5">
        <v>12.5</v>
      </c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>
        <f t="shared" si="97"/>
        <v>0</v>
      </c>
      <c r="AX389" s="5">
        <v>32</v>
      </c>
      <c r="AY389" s="5">
        <v>16</v>
      </c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32" t="s">
        <v>96</v>
      </c>
      <c r="BO389" s="5">
        <v>20</v>
      </c>
      <c r="BP389" s="5" t="s">
        <v>133</v>
      </c>
      <c r="BQ389" s="8">
        <v>44372</v>
      </c>
      <c r="BR389" s="5"/>
      <c r="BS389" s="34">
        <f t="shared" si="98"/>
        <v>12182.741116751269</v>
      </c>
      <c r="BT389" s="37">
        <f t="shared" si="99"/>
        <v>19.05255888325765</v>
      </c>
      <c r="BU389" s="53">
        <v>99999999</v>
      </c>
      <c r="BV389" s="38">
        <v>99999999</v>
      </c>
      <c r="BW389" s="38">
        <v>99999999</v>
      </c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27">
        <v>0</v>
      </c>
      <c r="CM389" s="9" t="s">
        <v>200</v>
      </c>
    </row>
    <row r="390" spans="1:91" ht="15.6" x14ac:dyDescent="0.3">
      <c r="A390" s="5" t="s">
        <v>468</v>
      </c>
      <c r="B390" s="16" t="s">
        <v>109</v>
      </c>
      <c r="C390" s="5">
        <v>15000</v>
      </c>
      <c r="D390" s="5">
        <v>15000</v>
      </c>
      <c r="E390" s="29">
        <f>D390*[1]Rentabiliteit!$V$74</f>
        <v>15000</v>
      </c>
      <c r="F390" s="22">
        <v>16500</v>
      </c>
      <c r="G390" s="5">
        <v>98.5</v>
      </c>
      <c r="H390" s="5">
        <v>98.1</v>
      </c>
      <c r="I390" s="14"/>
      <c r="J390" s="5">
        <v>2</v>
      </c>
      <c r="K390" s="5" t="s">
        <v>113</v>
      </c>
      <c r="L390" s="5">
        <v>2</v>
      </c>
      <c r="M390" s="5">
        <v>2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29">
        <v>180</v>
      </c>
      <c r="AC390" s="29">
        <v>160</v>
      </c>
      <c r="AD390" s="29">
        <v>850</v>
      </c>
      <c r="AE390" s="29">
        <v>1100</v>
      </c>
      <c r="AF390" s="5">
        <f t="shared" si="96"/>
        <v>0</v>
      </c>
      <c r="AG390" s="5">
        <v>25</v>
      </c>
      <c r="AH390" s="5">
        <v>25</v>
      </c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>
        <f t="shared" si="97"/>
        <v>0</v>
      </c>
      <c r="AX390" s="5">
        <v>32</v>
      </c>
      <c r="AY390" s="5">
        <v>32</v>
      </c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32" t="s">
        <v>96</v>
      </c>
      <c r="BO390" s="5">
        <v>25</v>
      </c>
      <c r="BP390" s="5" t="s">
        <v>133</v>
      </c>
      <c r="BQ390" s="8">
        <v>44372</v>
      </c>
      <c r="BR390" s="5"/>
      <c r="BS390" s="34">
        <f t="shared" si="98"/>
        <v>15228.426395939086</v>
      </c>
      <c r="BT390" s="37">
        <f t="shared" si="99"/>
        <v>23.815698604072065</v>
      </c>
      <c r="BU390" s="53">
        <v>99999999</v>
      </c>
      <c r="BV390" s="38">
        <v>99999999</v>
      </c>
      <c r="BW390" s="38">
        <v>99999999</v>
      </c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27">
        <v>0</v>
      </c>
      <c r="CM390" s="9" t="s">
        <v>200</v>
      </c>
    </row>
    <row r="391" spans="1:91" ht="15.6" x14ac:dyDescent="0.3">
      <c r="A391" s="5" t="s">
        <v>469</v>
      </c>
      <c r="B391" s="16" t="s">
        <v>109</v>
      </c>
      <c r="C391" s="5">
        <v>17000</v>
      </c>
      <c r="D391" s="5">
        <v>17000</v>
      </c>
      <c r="E391" s="29">
        <f>D391*[1]Rentabiliteit!$V$74</f>
        <v>17000</v>
      </c>
      <c r="F391" s="22">
        <v>18700</v>
      </c>
      <c r="G391" s="5">
        <v>98.5</v>
      </c>
      <c r="H391" s="5">
        <v>98.1</v>
      </c>
      <c r="I391" s="14"/>
      <c r="J391" s="5">
        <v>2</v>
      </c>
      <c r="K391" s="5" t="s">
        <v>113</v>
      </c>
      <c r="L391" s="5">
        <v>2</v>
      </c>
      <c r="M391" s="5">
        <v>2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29">
        <v>180</v>
      </c>
      <c r="AC391" s="29">
        <v>160</v>
      </c>
      <c r="AD391" s="29">
        <v>850</v>
      </c>
      <c r="AE391" s="29">
        <v>1100</v>
      </c>
      <c r="AF391" s="5">
        <f t="shared" si="96"/>
        <v>0</v>
      </c>
      <c r="AG391" s="5">
        <v>25</v>
      </c>
      <c r="AH391" s="5">
        <v>25</v>
      </c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>
        <f t="shared" si="97"/>
        <v>0</v>
      </c>
      <c r="AX391" s="5">
        <v>32</v>
      </c>
      <c r="AY391" s="5">
        <v>32</v>
      </c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32" t="s">
        <v>96</v>
      </c>
      <c r="BO391" s="5">
        <v>28.3</v>
      </c>
      <c r="BP391" s="5" t="s">
        <v>133</v>
      </c>
      <c r="BQ391" s="8">
        <v>44372</v>
      </c>
      <c r="BR391" s="5"/>
      <c r="BS391" s="34">
        <f t="shared" si="98"/>
        <v>17258.883248730966</v>
      </c>
      <c r="BT391" s="37">
        <f t="shared" si="99"/>
        <v>26.991125084615007</v>
      </c>
      <c r="BU391" s="53">
        <v>99999999</v>
      </c>
      <c r="BV391" s="38">
        <v>99999999</v>
      </c>
      <c r="BW391" s="38">
        <v>99999999</v>
      </c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27">
        <v>0</v>
      </c>
      <c r="CM391" s="9" t="s">
        <v>200</v>
      </c>
    </row>
    <row r="392" spans="1:91" ht="15.6" x14ac:dyDescent="0.3">
      <c r="A392" s="5" t="s">
        <v>470</v>
      </c>
      <c r="B392" s="16" t="s">
        <v>109</v>
      </c>
      <c r="C392" s="5">
        <v>20000</v>
      </c>
      <c r="D392" s="5">
        <v>20000</v>
      </c>
      <c r="E392" s="29">
        <f>D392*[1]Rentabiliteit!$V$74</f>
        <v>20000</v>
      </c>
      <c r="F392" s="22">
        <v>22000</v>
      </c>
      <c r="G392" s="5">
        <v>98.5</v>
      </c>
      <c r="H392" s="5">
        <v>98.1</v>
      </c>
      <c r="I392" s="14"/>
      <c r="J392" s="5">
        <v>2</v>
      </c>
      <c r="K392" s="5" t="s">
        <v>113</v>
      </c>
      <c r="L392" s="5">
        <v>2</v>
      </c>
      <c r="M392" s="5">
        <v>2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29">
        <v>180</v>
      </c>
      <c r="AC392" s="29">
        <v>160</v>
      </c>
      <c r="AD392" s="29">
        <v>850</v>
      </c>
      <c r="AE392" s="29">
        <v>1100</v>
      </c>
      <c r="AF392" s="5">
        <f t="shared" si="96"/>
        <v>0</v>
      </c>
      <c r="AG392" s="5">
        <v>25</v>
      </c>
      <c r="AH392" s="5">
        <v>25</v>
      </c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>
        <f t="shared" si="97"/>
        <v>0</v>
      </c>
      <c r="AX392" s="5">
        <v>32</v>
      </c>
      <c r="AY392" s="5">
        <v>32</v>
      </c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32" t="s">
        <v>96</v>
      </c>
      <c r="BO392" s="5">
        <v>31.9</v>
      </c>
      <c r="BP392" s="5" t="s">
        <v>133</v>
      </c>
      <c r="BQ392" s="8">
        <v>44372</v>
      </c>
      <c r="BR392" s="5"/>
      <c r="BS392" s="34">
        <f t="shared" si="98"/>
        <v>20304.568527918782</v>
      </c>
      <c r="BT392" s="37">
        <f t="shared" si="99"/>
        <v>31.754264805429418</v>
      </c>
      <c r="BU392" s="53">
        <v>99999999</v>
      </c>
      <c r="BV392" s="38">
        <v>99999999</v>
      </c>
      <c r="BW392" s="38">
        <v>99999999</v>
      </c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27">
        <v>0</v>
      </c>
      <c r="CM392" s="9" t="s">
        <v>200</v>
      </c>
    </row>
    <row r="393" spans="1:91" ht="15.6" x14ac:dyDescent="0.3">
      <c r="A393" s="29" t="s">
        <v>471</v>
      </c>
      <c r="B393" s="16" t="s">
        <v>109</v>
      </c>
      <c r="C393" s="29">
        <v>30000</v>
      </c>
      <c r="D393" s="29">
        <v>33000</v>
      </c>
      <c r="E393" s="29">
        <f>D393*[1]Rentabiliteit!$V$74</f>
        <v>33000</v>
      </c>
      <c r="F393" s="29">
        <v>33000</v>
      </c>
      <c r="G393" s="29">
        <v>98.5</v>
      </c>
      <c r="H393" s="29">
        <v>98.3</v>
      </c>
      <c r="I393" s="37">
        <v>98.39</v>
      </c>
      <c r="J393" s="29">
        <v>3</v>
      </c>
      <c r="K393" s="5" t="s">
        <v>96</v>
      </c>
      <c r="L393" s="29">
        <v>2</v>
      </c>
      <c r="M393" s="29">
        <v>2</v>
      </c>
      <c r="N393" s="29">
        <v>2</v>
      </c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>
        <v>200</v>
      </c>
      <c r="AC393" s="29">
        <v>160</v>
      </c>
      <c r="AD393" s="29">
        <v>800</v>
      </c>
      <c r="AE393" s="29">
        <v>1100</v>
      </c>
      <c r="AF393" s="5">
        <f t="shared" ref="AF393" si="100">IF(OR($K393=1,$L393="Yes"),SUM(AG393:AV393),0)</f>
        <v>0</v>
      </c>
      <c r="AG393" s="5">
        <v>30</v>
      </c>
      <c r="AH393" s="5">
        <v>30</v>
      </c>
      <c r="AI393" s="5">
        <v>30</v>
      </c>
      <c r="AJ393" s="5"/>
      <c r="AK393" s="5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5">
        <f t="shared" si="97"/>
        <v>0</v>
      </c>
      <c r="AX393" s="5">
        <v>40</v>
      </c>
      <c r="AY393" s="5">
        <v>40</v>
      </c>
      <c r="AZ393" s="5">
        <v>40</v>
      </c>
      <c r="BA393" s="5"/>
      <c r="BB393" s="5"/>
      <c r="BC393" s="29"/>
      <c r="BD393" s="29"/>
      <c r="BE393" s="29"/>
      <c r="BF393" s="29"/>
      <c r="BG393" s="29"/>
      <c r="BH393" s="29"/>
      <c r="BI393" s="29"/>
      <c r="BJ393" s="19"/>
      <c r="BK393" s="29"/>
      <c r="BL393" s="29"/>
      <c r="BM393" s="29"/>
      <c r="BN393" s="32" t="s">
        <v>96</v>
      </c>
      <c r="BO393" s="29">
        <v>50.2</v>
      </c>
      <c r="BP393" s="29" t="s">
        <v>171</v>
      </c>
      <c r="BQ393" s="19">
        <v>44966</v>
      </c>
      <c r="BR393" s="29"/>
      <c r="BS393" s="34">
        <f t="shared" si="98"/>
        <v>33539.993901819289</v>
      </c>
      <c r="BT393" s="37">
        <f t="shared" si="99"/>
        <v>47.631397208144129</v>
      </c>
      <c r="BU393" s="53">
        <v>99999999</v>
      </c>
      <c r="BV393" s="38">
        <v>99999999</v>
      </c>
      <c r="BW393" s="38">
        <v>99999999</v>
      </c>
      <c r="BX393" s="38">
        <v>99999999</v>
      </c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7">
        <v>0</v>
      </c>
      <c r="CM393" s="9" t="s">
        <v>472</v>
      </c>
    </row>
    <row r="394" spans="1:91" ht="15.6" x14ac:dyDescent="0.3">
      <c r="A394" s="29" t="s">
        <v>473</v>
      </c>
      <c r="B394" s="16" t="s">
        <v>109</v>
      </c>
      <c r="C394" s="29">
        <v>33000</v>
      </c>
      <c r="D394" s="29">
        <v>36300</v>
      </c>
      <c r="E394" s="29">
        <f>D394*[1]Rentabiliteit!$V$74</f>
        <v>36300</v>
      </c>
      <c r="F394" s="29">
        <v>36300</v>
      </c>
      <c r="G394" s="29">
        <v>98.6</v>
      </c>
      <c r="H394" s="29">
        <v>98.3</v>
      </c>
      <c r="I394" s="37">
        <v>98.39</v>
      </c>
      <c r="J394" s="29">
        <v>3</v>
      </c>
      <c r="K394" s="5" t="s">
        <v>96</v>
      </c>
      <c r="L394" s="29">
        <v>2</v>
      </c>
      <c r="M394" s="29">
        <v>2</v>
      </c>
      <c r="N394" s="29">
        <v>2</v>
      </c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>
        <v>250</v>
      </c>
      <c r="AC394" s="29">
        <v>200</v>
      </c>
      <c r="AD394" s="29">
        <v>850</v>
      </c>
      <c r="AE394" s="29">
        <v>1100</v>
      </c>
      <c r="AF394" s="5">
        <f t="shared" si="96"/>
        <v>0</v>
      </c>
      <c r="AG394" s="5">
        <v>26</v>
      </c>
      <c r="AH394" s="5">
        <v>26</v>
      </c>
      <c r="AI394" s="5">
        <v>26</v>
      </c>
      <c r="AJ394" s="5"/>
      <c r="AK394" s="5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5">
        <f t="shared" si="97"/>
        <v>0</v>
      </c>
      <c r="AX394" s="5">
        <v>40</v>
      </c>
      <c r="AY394" s="5">
        <v>40</v>
      </c>
      <c r="AZ394" s="5">
        <v>40</v>
      </c>
      <c r="BA394" s="5"/>
      <c r="BB394" s="5"/>
      <c r="BC394" s="29"/>
      <c r="BD394" s="29"/>
      <c r="BE394" s="29"/>
      <c r="BF394" s="29"/>
      <c r="BG394" s="29"/>
      <c r="BH394" s="29"/>
      <c r="BI394" s="29"/>
      <c r="BJ394" s="19"/>
      <c r="BK394" s="29"/>
      <c r="BL394" s="29"/>
      <c r="BM394" s="29"/>
      <c r="BN394" s="32" t="s">
        <v>96</v>
      </c>
      <c r="BO394" s="29">
        <v>55.2</v>
      </c>
      <c r="BP394" s="29" t="s">
        <v>133</v>
      </c>
      <c r="BQ394" s="19">
        <v>44281</v>
      </c>
      <c r="BR394" s="29"/>
      <c r="BS394" s="34">
        <f t="shared" si="98"/>
        <v>36893.993292001222</v>
      </c>
      <c r="BT394" s="37">
        <f t="shared" si="99"/>
        <v>52.394536928958544</v>
      </c>
      <c r="BU394" s="53">
        <v>99999999</v>
      </c>
      <c r="BV394" s="38">
        <v>99999999</v>
      </c>
      <c r="BW394" s="38">
        <v>99999999</v>
      </c>
      <c r="BX394" s="38">
        <v>99999999</v>
      </c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7">
        <v>0</v>
      </c>
      <c r="CM394" s="9" t="s">
        <v>474</v>
      </c>
    </row>
    <row r="395" spans="1:91" ht="15.6" x14ac:dyDescent="0.3">
      <c r="A395" s="29" t="s">
        <v>475</v>
      </c>
      <c r="B395" s="16" t="s">
        <v>109</v>
      </c>
      <c r="C395" s="29">
        <v>33000</v>
      </c>
      <c r="D395" s="29">
        <v>36300</v>
      </c>
      <c r="E395" s="29">
        <f>D395*[1]Rentabiliteit!$V$74</f>
        <v>36300</v>
      </c>
      <c r="F395" s="29">
        <v>36300</v>
      </c>
      <c r="G395" s="29">
        <v>98.5</v>
      </c>
      <c r="H395" s="29">
        <v>98.3</v>
      </c>
      <c r="I395" s="37">
        <v>98.39</v>
      </c>
      <c r="J395" s="29">
        <v>3</v>
      </c>
      <c r="K395" s="5" t="s">
        <v>96</v>
      </c>
      <c r="L395" s="29">
        <v>2</v>
      </c>
      <c r="M395" s="29">
        <v>2</v>
      </c>
      <c r="N395" s="29">
        <v>2</v>
      </c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>
        <v>200</v>
      </c>
      <c r="AC395" s="29">
        <v>160</v>
      </c>
      <c r="AD395" s="29">
        <v>800</v>
      </c>
      <c r="AE395" s="29">
        <v>1100</v>
      </c>
      <c r="AF395" s="5">
        <f t="shared" si="96"/>
        <v>0</v>
      </c>
      <c r="AG395" s="5">
        <v>30</v>
      </c>
      <c r="AH395" s="5">
        <v>30</v>
      </c>
      <c r="AI395" s="5">
        <v>30</v>
      </c>
      <c r="AJ395" s="5"/>
      <c r="AK395" s="5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5">
        <f t="shared" si="97"/>
        <v>0</v>
      </c>
      <c r="AX395" s="5">
        <v>40</v>
      </c>
      <c r="AY395" s="5">
        <v>40</v>
      </c>
      <c r="AZ395" s="5">
        <v>40</v>
      </c>
      <c r="BA395" s="5"/>
      <c r="BB395" s="5"/>
      <c r="BC395" s="29"/>
      <c r="BD395" s="29"/>
      <c r="BE395" s="29"/>
      <c r="BF395" s="29"/>
      <c r="BG395" s="29"/>
      <c r="BH395" s="29"/>
      <c r="BI395" s="29"/>
      <c r="BJ395" s="19"/>
      <c r="BK395" s="29"/>
      <c r="BL395" s="29"/>
      <c r="BM395" s="29"/>
      <c r="BN395" s="32" t="s">
        <v>96</v>
      </c>
      <c r="BO395" s="29">
        <v>55.2</v>
      </c>
      <c r="BP395" s="29" t="s">
        <v>171</v>
      </c>
      <c r="BQ395" s="19">
        <v>44966</v>
      </c>
      <c r="BR395" s="29"/>
      <c r="BS395" s="34">
        <f t="shared" si="98"/>
        <v>36893.993292001222</v>
      </c>
      <c r="BT395" s="37">
        <f t="shared" si="99"/>
        <v>52.394536928958544</v>
      </c>
      <c r="BU395" s="53">
        <v>99999999</v>
      </c>
      <c r="BV395" s="38">
        <v>99999999</v>
      </c>
      <c r="BW395" s="38">
        <v>99999999</v>
      </c>
      <c r="BX395" s="38">
        <v>99999999</v>
      </c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7">
        <v>0</v>
      </c>
      <c r="CM395" s="9" t="s">
        <v>472</v>
      </c>
    </row>
    <row r="396" spans="1:91" ht="15.6" x14ac:dyDescent="0.3">
      <c r="A396" s="29" t="s">
        <v>476</v>
      </c>
      <c r="B396" s="16" t="s">
        <v>109</v>
      </c>
      <c r="C396" s="29">
        <v>40000</v>
      </c>
      <c r="D396" s="29">
        <v>44000</v>
      </c>
      <c r="E396" s="29">
        <f>D396*[1]Rentabiliteit!$V$74</f>
        <v>44000</v>
      </c>
      <c r="F396" s="29">
        <v>44000</v>
      </c>
      <c r="G396" s="29">
        <v>98.6</v>
      </c>
      <c r="H396" s="29">
        <v>98.3</v>
      </c>
      <c r="I396" s="37">
        <v>98.43</v>
      </c>
      <c r="J396" s="29">
        <v>4</v>
      </c>
      <c r="K396" s="5" t="s">
        <v>96</v>
      </c>
      <c r="L396" s="29">
        <v>2</v>
      </c>
      <c r="M396" s="29">
        <v>2</v>
      </c>
      <c r="N396" s="29">
        <v>2</v>
      </c>
      <c r="O396" s="29">
        <v>2</v>
      </c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>
        <v>250</v>
      </c>
      <c r="AC396" s="29">
        <v>200</v>
      </c>
      <c r="AD396" s="29">
        <v>850</v>
      </c>
      <c r="AE396" s="29">
        <v>1100</v>
      </c>
      <c r="AF396" s="5">
        <f t="shared" si="96"/>
        <v>0</v>
      </c>
      <c r="AG396" s="5">
        <v>26</v>
      </c>
      <c r="AH396" s="5">
        <v>26</v>
      </c>
      <c r="AI396" s="5">
        <v>26</v>
      </c>
      <c r="AJ396" s="5">
        <v>26</v>
      </c>
      <c r="AK396" s="5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5">
        <f t="shared" si="97"/>
        <v>0</v>
      </c>
      <c r="AX396" s="5">
        <v>40</v>
      </c>
      <c r="AY396" s="5">
        <v>40</v>
      </c>
      <c r="AZ396" s="5">
        <v>40</v>
      </c>
      <c r="BA396" s="5">
        <v>40</v>
      </c>
      <c r="BB396" s="5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32" t="s">
        <v>96</v>
      </c>
      <c r="BO396" s="29">
        <v>66.900000000000006</v>
      </c>
      <c r="BP396" s="29" t="s">
        <v>133</v>
      </c>
      <c r="BQ396" s="19">
        <v>44281</v>
      </c>
      <c r="BR396" s="29"/>
      <c r="BS396" s="34">
        <f t="shared" si="98"/>
        <v>44701.818551254699</v>
      </c>
      <c r="BT396" s="37">
        <f t="shared" si="99"/>
        <v>63.508529610858837</v>
      </c>
      <c r="BU396" s="53">
        <v>99999999</v>
      </c>
      <c r="BV396" s="38">
        <v>99999999</v>
      </c>
      <c r="BW396" s="38">
        <v>99999999</v>
      </c>
      <c r="BX396" s="38">
        <v>99999999</v>
      </c>
      <c r="BY396" s="38">
        <v>99999999</v>
      </c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7">
        <v>0</v>
      </c>
      <c r="CM396" s="9" t="s">
        <v>474</v>
      </c>
    </row>
    <row r="397" spans="1:91" ht="15.6" x14ac:dyDescent="0.3">
      <c r="A397" s="29" t="s">
        <v>477</v>
      </c>
      <c r="B397" s="16" t="s">
        <v>109</v>
      </c>
      <c r="C397" s="29">
        <v>40000</v>
      </c>
      <c r="D397" s="29">
        <v>44000</v>
      </c>
      <c r="E397" s="29">
        <f>D397*[1]Rentabiliteit!$V$74</f>
        <v>44000</v>
      </c>
      <c r="F397" s="29">
        <v>44000</v>
      </c>
      <c r="G397" s="29">
        <v>98.5</v>
      </c>
      <c r="H397" s="29">
        <v>98.3</v>
      </c>
      <c r="I397" s="37">
        <v>98.43</v>
      </c>
      <c r="J397" s="29">
        <v>4</v>
      </c>
      <c r="K397" s="5" t="s">
        <v>96</v>
      </c>
      <c r="L397" s="29">
        <v>2</v>
      </c>
      <c r="M397" s="29">
        <v>2</v>
      </c>
      <c r="N397" s="29">
        <v>2</v>
      </c>
      <c r="O397" s="29">
        <v>2</v>
      </c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>
        <v>200</v>
      </c>
      <c r="AC397" s="29">
        <v>160</v>
      </c>
      <c r="AD397" s="29">
        <v>800</v>
      </c>
      <c r="AE397" s="29">
        <v>1100</v>
      </c>
      <c r="AF397" s="5">
        <f t="shared" ref="AF397" si="101">IF(OR($K397=1,$L397="Yes"),SUM(AG397:AV397),0)</f>
        <v>0</v>
      </c>
      <c r="AG397" s="5">
        <v>30</v>
      </c>
      <c r="AH397" s="5">
        <v>30</v>
      </c>
      <c r="AI397" s="5">
        <v>30</v>
      </c>
      <c r="AJ397" s="5">
        <v>30</v>
      </c>
      <c r="AK397" s="5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5">
        <f t="shared" si="97"/>
        <v>0</v>
      </c>
      <c r="AX397" s="5">
        <v>40</v>
      </c>
      <c r="AY397" s="5">
        <v>40</v>
      </c>
      <c r="AZ397" s="5">
        <v>40</v>
      </c>
      <c r="BA397" s="5">
        <v>40</v>
      </c>
      <c r="BB397" s="5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32" t="s">
        <v>96</v>
      </c>
      <c r="BO397" s="29">
        <v>66.900000000000006</v>
      </c>
      <c r="BP397" s="29" t="s">
        <v>171</v>
      </c>
      <c r="BQ397" s="19">
        <v>44987</v>
      </c>
      <c r="BR397" s="29"/>
      <c r="BS397" s="34">
        <f t="shared" si="98"/>
        <v>44701.818551254699</v>
      </c>
      <c r="BT397" s="37">
        <f t="shared" si="99"/>
        <v>63.508529610858837</v>
      </c>
      <c r="BU397" s="53">
        <v>99999999</v>
      </c>
      <c r="BV397" s="38">
        <v>99999999</v>
      </c>
      <c r="BW397" s="38">
        <v>99999999</v>
      </c>
      <c r="BX397" s="38">
        <v>99999999</v>
      </c>
      <c r="BY397" s="38">
        <v>99999999</v>
      </c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7">
        <v>0</v>
      </c>
      <c r="CM397" s="9" t="s">
        <v>472</v>
      </c>
    </row>
    <row r="398" spans="1:91" ht="15.6" x14ac:dyDescent="0.3">
      <c r="A398" s="29" t="s">
        <v>478</v>
      </c>
      <c r="B398" s="16" t="s">
        <v>109</v>
      </c>
      <c r="C398" s="29">
        <v>50000</v>
      </c>
      <c r="D398" s="29">
        <v>55000</v>
      </c>
      <c r="E398" s="29">
        <f>D398*[1]Rentabiliteit!$V$74</f>
        <v>55000</v>
      </c>
      <c r="F398" s="29">
        <v>55000</v>
      </c>
      <c r="G398" s="29">
        <v>98.7</v>
      </c>
      <c r="H398" s="29">
        <v>98.4</v>
      </c>
      <c r="I398" s="37">
        <v>98.49</v>
      </c>
      <c r="J398" s="29">
        <v>5</v>
      </c>
      <c r="K398" s="5" t="s">
        <v>96</v>
      </c>
      <c r="L398" s="29">
        <v>2</v>
      </c>
      <c r="M398" s="29">
        <v>2</v>
      </c>
      <c r="N398" s="29">
        <v>2</v>
      </c>
      <c r="O398" s="29">
        <v>2</v>
      </c>
      <c r="P398" s="29">
        <v>2</v>
      </c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>
        <v>250</v>
      </c>
      <c r="AC398" s="29">
        <v>200</v>
      </c>
      <c r="AD398" s="29">
        <v>850</v>
      </c>
      <c r="AE398" s="29">
        <v>1100</v>
      </c>
      <c r="AF398" s="5">
        <f t="shared" si="96"/>
        <v>0</v>
      </c>
      <c r="AG398" s="5">
        <v>26</v>
      </c>
      <c r="AH398" s="5">
        <v>26</v>
      </c>
      <c r="AI398" s="5">
        <v>26</v>
      </c>
      <c r="AJ398" s="5">
        <v>26</v>
      </c>
      <c r="AK398" s="5">
        <v>26</v>
      </c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5">
        <f t="shared" si="97"/>
        <v>0</v>
      </c>
      <c r="AX398" s="5">
        <v>40</v>
      </c>
      <c r="AY398" s="5">
        <v>40</v>
      </c>
      <c r="AZ398" s="5">
        <v>40</v>
      </c>
      <c r="BA398" s="5">
        <v>40</v>
      </c>
      <c r="BB398" s="5">
        <v>40</v>
      </c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32" t="s">
        <v>96</v>
      </c>
      <c r="BO398" s="29">
        <v>83.6</v>
      </c>
      <c r="BP398" s="29" t="s">
        <v>133</v>
      </c>
      <c r="BQ398" s="19">
        <v>44281</v>
      </c>
      <c r="BR398" s="29"/>
      <c r="BS398" s="34">
        <f t="shared" si="98"/>
        <v>55843.232815514268</v>
      </c>
      <c r="BT398" s="37">
        <f t="shared" si="99"/>
        <v>79.385662013573551</v>
      </c>
      <c r="BU398" s="53">
        <v>99999999</v>
      </c>
      <c r="BV398" s="38">
        <v>99999999</v>
      </c>
      <c r="BW398" s="38">
        <v>99999999</v>
      </c>
      <c r="BX398" s="38">
        <v>99999999</v>
      </c>
      <c r="BY398" s="38">
        <v>99999999</v>
      </c>
      <c r="BZ398" s="38">
        <v>99999999</v>
      </c>
      <c r="CA398" s="29"/>
      <c r="CB398" s="29"/>
      <c r="CC398" s="29"/>
      <c r="CD398" s="29"/>
      <c r="CE398" s="29"/>
      <c r="CF398" s="29"/>
      <c r="CG398" s="29"/>
      <c r="CH398" s="29"/>
      <c r="CI398" s="29"/>
      <c r="CJ398" s="29"/>
      <c r="CK398" s="29"/>
      <c r="CL398" s="27">
        <v>0</v>
      </c>
      <c r="CM398" s="9" t="s">
        <v>474</v>
      </c>
    </row>
    <row r="399" spans="1:91" ht="15.6" x14ac:dyDescent="0.3">
      <c r="A399" s="29" t="s">
        <v>479</v>
      </c>
      <c r="B399" s="16" t="s">
        <v>109</v>
      </c>
      <c r="C399" s="29">
        <v>50000</v>
      </c>
      <c r="D399" s="29">
        <v>55000</v>
      </c>
      <c r="E399" s="29">
        <f>D399*[1]Rentabiliteit!$V$74</f>
        <v>55000</v>
      </c>
      <c r="F399" s="29">
        <v>55000</v>
      </c>
      <c r="G399" s="29">
        <v>98.5</v>
      </c>
      <c r="H399" s="29">
        <v>98.4</v>
      </c>
      <c r="I399" s="37">
        <v>98.49</v>
      </c>
      <c r="J399" s="21">
        <v>4</v>
      </c>
      <c r="K399" s="5" t="s">
        <v>96</v>
      </c>
      <c r="L399" s="29">
        <v>2</v>
      </c>
      <c r="M399" s="29">
        <v>2</v>
      </c>
      <c r="N399" s="29">
        <v>2</v>
      </c>
      <c r="O399" s="29">
        <v>2</v>
      </c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>
        <v>200</v>
      </c>
      <c r="AC399" s="29">
        <v>160</v>
      </c>
      <c r="AD399" s="29">
        <v>800</v>
      </c>
      <c r="AE399" s="29">
        <v>1100</v>
      </c>
      <c r="AF399" s="5">
        <f t="shared" ref="AF399" si="102">IF(OR($K399=1,$L399="Yes"),SUM(AG399:AV399),0)</f>
        <v>0</v>
      </c>
      <c r="AG399" s="5">
        <v>30</v>
      </c>
      <c r="AH399" s="5">
        <v>30</v>
      </c>
      <c r="AI399" s="5">
        <v>30</v>
      </c>
      <c r="AJ399" s="5">
        <v>30</v>
      </c>
      <c r="AK399" s="5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5">
        <f t="shared" si="97"/>
        <v>0</v>
      </c>
      <c r="AX399" s="5">
        <v>40</v>
      </c>
      <c r="AY399" s="5">
        <v>40</v>
      </c>
      <c r="AZ399" s="5">
        <v>40</v>
      </c>
      <c r="BA399" s="5">
        <v>40</v>
      </c>
      <c r="BB399" s="5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32" t="s">
        <v>96</v>
      </c>
      <c r="BO399" s="29">
        <v>83.6</v>
      </c>
      <c r="BP399" s="29" t="s">
        <v>133</v>
      </c>
      <c r="BQ399" s="19">
        <v>44966</v>
      </c>
      <c r="BR399" s="29"/>
      <c r="BS399" s="34">
        <f t="shared" si="98"/>
        <v>55843.232815514268</v>
      </c>
      <c r="BT399" s="37">
        <f t="shared" si="99"/>
        <v>79.385662013573551</v>
      </c>
      <c r="BU399" s="53">
        <v>99999999</v>
      </c>
      <c r="BV399" s="38">
        <v>99999999</v>
      </c>
      <c r="BW399" s="38">
        <v>99999999</v>
      </c>
      <c r="BX399" s="38">
        <v>99999999</v>
      </c>
      <c r="BY399" s="38">
        <v>99999999</v>
      </c>
      <c r="BZ399" s="29"/>
      <c r="CA399" s="29"/>
      <c r="CB399" s="29"/>
      <c r="CC399" s="29"/>
      <c r="CD399" s="29"/>
      <c r="CE399" s="29"/>
      <c r="CF399" s="29"/>
      <c r="CG399" s="29"/>
      <c r="CH399" s="29"/>
      <c r="CI399" s="29"/>
      <c r="CJ399" s="29"/>
      <c r="CK399" s="29"/>
      <c r="CL399" s="27">
        <v>0</v>
      </c>
      <c r="CM399" s="9" t="s">
        <v>472</v>
      </c>
    </row>
    <row r="400" spans="1:91" ht="15.6" x14ac:dyDescent="0.3">
      <c r="A400" s="29" t="s">
        <v>480</v>
      </c>
      <c r="B400" s="16" t="s">
        <v>109</v>
      </c>
      <c r="C400" s="29">
        <v>100000</v>
      </c>
      <c r="D400" s="29">
        <v>110000</v>
      </c>
      <c r="E400" s="29">
        <f>D400*[1]Rentabiliteit!$V$74</f>
        <v>110000</v>
      </c>
      <c r="F400" s="29">
        <v>110000</v>
      </c>
      <c r="G400" s="26">
        <v>98.7</v>
      </c>
      <c r="H400" s="26">
        <v>98.5</v>
      </c>
      <c r="I400" s="37">
        <v>98.37</v>
      </c>
      <c r="J400" s="29">
        <v>9</v>
      </c>
      <c r="K400" s="5" t="s">
        <v>96</v>
      </c>
      <c r="L400" s="29">
        <v>2</v>
      </c>
      <c r="M400" s="29">
        <v>2</v>
      </c>
      <c r="N400" s="29">
        <v>2</v>
      </c>
      <c r="O400" s="29">
        <v>2</v>
      </c>
      <c r="P400" s="29">
        <v>2</v>
      </c>
      <c r="Q400" s="29">
        <v>2</v>
      </c>
      <c r="R400" s="29">
        <v>2</v>
      </c>
      <c r="S400" s="29">
        <v>2</v>
      </c>
      <c r="T400" s="29">
        <v>2</v>
      </c>
      <c r="U400" s="29"/>
      <c r="V400" s="29"/>
      <c r="W400" s="29"/>
      <c r="X400" s="29"/>
      <c r="Y400" s="29"/>
      <c r="Z400" s="29"/>
      <c r="AA400" s="29"/>
      <c r="AB400" s="29">
        <v>250</v>
      </c>
      <c r="AC400" s="29">
        <v>200</v>
      </c>
      <c r="AD400" s="29">
        <v>850</v>
      </c>
      <c r="AE400" s="29">
        <v>1100</v>
      </c>
      <c r="AF400" s="5">
        <f t="shared" si="96"/>
        <v>0</v>
      </c>
      <c r="AG400" s="29">
        <v>26</v>
      </c>
      <c r="AH400" s="29">
        <v>26</v>
      </c>
      <c r="AI400" s="29">
        <v>26</v>
      </c>
      <c r="AJ400" s="29">
        <v>26</v>
      </c>
      <c r="AK400" s="29">
        <v>26</v>
      </c>
      <c r="AL400" s="29">
        <v>26</v>
      </c>
      <c r="AM400" s="29">
        <v>26</v>
      </c>
      <c r="AN400" s="29">
        <v>26</v>
      </c>
      <c r="AO400" s="29">
        <v>26</v>
      </c>
      <c r="AP400" s="29"/>
      <c r="AQ400" s="29"/>
      <c r="AR400" s="29"/>
      <c r="AS400" s="29"/>
      <c r="AT400" s="29"/>
      <c r="AU400" s="29"/>
      <c r="AV400" s="29"/>
      <c r="AW400" s="5">
        <f t="shared" si="97"/>
        <v>0</v>
      </c>
      <c r="AX400" s="29">
        <v>40</v>
      </c>
      <c r="AY400" s="29">
        <v>40</v>
      </c>
      <c r="AZ400" s="29">
        <v>40</v>
      </c>
      <c r="BA400" s="29">
        <v>40</v>
      </c>
      <c r="BB400" s="29">
        <v>40</v>
      </c>
      <c r="BC400" s="29">
        <v>40</v>
      </c>
      <c r="BD400" s="29">
        <v>40</v>
      </c>
      <c r="BE400" s="29">
        <v>40</v>
      </c>
      <c r="BF400" s="29">
        <v>40</v>
      </c>
      <c r="BG400" s="29"/>
      <c r="BH400" s="29"/>
      <c r="BI400" s="29"/>
      <c r="BJ400" s="29"/>
      <c r="BK400" s="29"/>
      <c r="BL400" s="29"/>
      <c r="BM400" s="29"/>
      <c r="BN400" s="36" t="s">
        <v>96</v>
      </c>
      <c r="BO400" s="26">
        <v>158.80000000000001</v>
      </c>
      <c r="BP400" s="29" t="s">
        <v>174</v>
      </c>
      <c r="BQ400" s="19">
        <v>43560</v>
      </c>
      <c r="BR400" s="29"/>
      <c r="BS400" s="34">
        <f t="shared" si="98"/>
        <v>111822.71017586662</v>
      </c>
      <c r="BT400" s="37">
        <f t="shared" si="99"/>
        <v>158.7713240271471</v>
      </c>
      <c r="BU400" s="53">
        <v>99999999</v>
      </c>
      <c r="BV400" s="38">
        <v>99999999</v>
      </c>
      <c r="BW400" s="38">
        <v>99999999</v>
      </c>
      <c r="BX400" s="38">
        <v>99999999</v>
      </c>
      <c r="BY400" s="38">
        <v>99999999</v>
      </c>
      <c r="BZ400" s="38">
        <v>99999999</v>
      </c>
      <c r="CA400" s="38">
        <v>99999999</v>
      </c>
      <c r="CB400" s="38">
        <v>99999999</v>
      </c>
      <c r="CC400" s="38">
        <v>99999999</v>
      </c>
      <c r="CD400" s="38">
        <v>99999999</v>
      </c>
      <c r="CE400" s="34"/>
      <c r="CF400" s="34"/>
      <c r="CG400" s="34"/>
      <c r="CH400" s="34"/>
      <c r="CI400" s="34"/>
      <c r="CJ400" s="34"/>
      <c r="CK400" s="34"/>
      <c r="CL400" s="27">
        <v>0</v>
      </c>
      <c r="CM400" s="9" t="s">
        <v>474</v>
      </c>
    </row>
    <row r="401" spans="1:91" ht="15.6" x14ac:dyDescent="0.3">
      <c r="A401" s="29" t="s">
        <v>481</v>
      </c>
      <c r="B401" s="16" t="s">
        <v>109</v>
      </c>
      <c r="C401" s="29">
        <v>100000</v>
      </c>
      <c r="D401" s="29">
        <v>110000</v>
      </c>
      <c r="E401" s="29">
        <f>D401*[1]Rentabiliteit!$V$74</f>
        <v>110000</v>
      </c>
      <c r="F401" s="29">
        <v>110000</v>
      </c>
      <c r="G401" s="26">
        <v>98.7</v>
      </c>
      <c r="H401" s="26">
        <v>98.5</v>
      </c>
      <c r="I401" s="37">
        <v>98.37</v>
      </c>
      <c r="J401" s="29">
        <v>9</v>
      </c>
      <c r="K401" s="5" t="s">
        <v>96</v>
      </c>
      <c r="L401" s="29">
        <v>2</v>
      </c>
      <c r="M401" s="29">
        <v>2</v>
      </c>
      <c r="N401" s="29">
        <v>2</v>
      </c>
      <c r="O401" s="29">
        <v>2</v>
      </c>
      <c r="P401" s="29">
        <v>2</v>
      </c>
      <c r="Q401" s="29">
        <v>2</v>
      </c>
      <c r="R401" s="29">
        <v>2</v>
      </c>
      <c r="S401" s="29">
        <v>2</v>
      </c>
      <c r="T401" s="29">
        <v>2</v>
      </c>
      <c r="U401" s="29"/>
      <c r="V401" s="29"/>
      <c r="W401" s="29"/>
      <c r="X401" s="29"/>
      <c r="Y401" s="29"/>
      <c r="Z401" s="29"/>
      <c r="AA401" s="29"/>
      <c r="AB401" s="29">
        <v>250</v>
      </c>
      <c r="AC401" s="29">
        <v>200</v>
      </c>
      <c r="AD401" s="29">
        <v>850</v>
      </c>
      <c r="AE401" s="29">
        <v>1100</v>
      </c>
      <c r="AF401" s="5">
        <f t="shared" si="96"/>
        <v>0</v>
      </c>
      <c r="AG401" s="29">
        <v>26</v>
      </c>
      <c r="AH401" s="29">
        <v>26</v>
      </c>
      <c r="AI401" s="29">
        <v>26</v>
      </c>
      <c r="AJ401" s="29">
        <v>26</v>
      </c>
      <c r="AK401" s="29">
        <v>26</v>
      </c>
      <c r="AL401" s="29">
        <v>26</v>
      </c>
      <c r="AM401" s="29">
        <v>26</v>
      </c>
      <c r="AN401" s="29">
        <v>26</v>
      </c>
      <c r="AO401" s="29">
        <v>26</v>
      </c>
      <c r="AP401" s="29"/>
      <c r="AQ401" s="29"/>
      <c r="AR401" s="29"/>
      <c r="AS401" s="29"/>
      <c r="AT401" s="29"/>
      <c r="AU401" s="29"/>
      <c r="AV401" s="29"/>
      <c r="AW401" s="5">
        <f t="shared" si="97"/>
        <v>0</v>
      </c>
      <c r="AX401" s="29">
        <v>40</v>
      </c>
      <c r="AY401" s="29">
        <v>40</v>
      </c>
      <c r="AZ401" s="29">
        <v>40</v>
      </c>
      <c r="BA401" s="29">
        <v>40</v>
      </c>
      <c r="BB401" s="29">
        <v>40</v>
      </c>
      <c r="BC401" s="29">
        <v>40</v>
      </c>
      <c r="BD401" s="29">
        <v>40</v>
      </c>
      <c r="BE401" s="29">
        <v>40</v>
      </c>
      <c r="BF401" s="29">
        <v>40</v>
      </c>
      <c r="BG401" s="29"/>
      <c r="BH401" s="29"/>
      <c r="BI401" s="29"/>
      <c r="BJ401" s="29"/>
      <c r="BK401" s="29"/>
      <c r="BL401" s="29"/>
      <c r="BM401" s="29"/>
      <c r="BN401" s="36" t="s">
        <v>96</v>
      </c>
      <c r="BO401" s="26">
        <v>158.80000000000001</v>
      </c>
      <c r="BP401" s="29" t="s">
        <v>133</v>
      </c>
      <c r="BQ401" s="19">
        <v>44281</v>
      </c>
      <c r="BR401" s="29"/>
      <c r="BS401" s="34">
        <f t="shared" si="98"/>
        <v>111822.71017586662</v>
      </c>
      <c r="BT401" s="37">
        <f t="shared" si="99"/>
        <v>158.7713240271471</v>
      </c>
      <c r="BU401" s="53">
        <v>99999999</v>
      </c>
      <c r="BV401" s="38">
        <v>99999999</v>
      </c>
      <c r="BW401" s="38">
        <v>99999999</v>
      </c>
      <c r="BX401" s="38">
        <v>99999999</v>
      </c>
      <c r="BY401" s="38">
        <v>99999999</v>
      </c>
      <c r="BZ401" s="38">
        <v>99999999</v>
      </c>
      <c r="CA401" s="38">
        <v>99999999</v>
      </c>
      <c r="CB401" s="38">
        <v>99999999</v>
      </c>
      <c r="CC401" s="38">
        <v>99999999</v>
      </c>
      <c r="CD401" s="38">
        <v>99999999</v>
      </c>
      <c r="CE401" s="34"/>
      <c r="CF401" s="34"/>
      <c r="CG401" s="34"/>
      <c r="CH401" s="34"/>
      <c r="CI401" s="34"/>
      <c r="CJ401" s="34"/>
      <c r="CK401" s="34"/>
      <c r="CL401" s="27">
        <v>0</v>
      </c>
      <c r="CM401" s="9" t="s">
        <v>474</v>
      </c>
    </row>
    <row r="402" spans="1:91" ht="15.6" x14ac:dyDescent="0.3">
      <c r="A402" s="29" t="s">
        <v>482</v>
      </c>
      <c r="B402" s="16" t="s">
        <v>109</v>
      </c>
      <c r="C402" s="29">
        <v>125000</v>
      </c>
      <c r="D402" s="29">
        <v>125000</v>
      </c>
      <c r="E402" s="29">
        <f>D402*[1]Rentabiliteit!$V$74</f>
        <v>125000</v>
      </c>
      <c r="F402" s="29">
        <v>125000</v>
      </c>
      <c r="G402" s="26">
        <v>98.5</v>
      </c>
      <c r="H402" s="26">
        <v>98.3</v>
      </c>
      <c r="I402" s="14"/>
      <c r="J402" s="29">
        <v>12</v>
      </c>
      <c r="K402" s="5" t="s">
        <v>96</v>
      </c>
      <c r="L402" s="29">
        <v>2</v>
      </c>
      <c r="M402" s="29">
        <v>2</v>
      </c>
      <c r="N402" s="29">
        <v>2</v>
      </c>
      <c r="O402" s="29">
        <v>2</v>
      </c>
      <c r="P402" s="29">
        <v>2</v>
      </c>
      <c r="Q402" s="29">
        <v>2</v>
      </c>
      <c r="R402" s="29">
        <v>2</v>
      </c>
      <c r="S402" s="29">
        <v>2</v>
      </c>
      <c r="T402" s="29">
        <v>2</v>
      </c>
      <c r="U402" s="29">
        <v>2</v>
      </c>
      <c r="V402" s="29">
        <v>2</v>
      </c>
      <c r="W402" s="29">
        <v>2</v>
      </c>
      <c r="X402" s="29"/>
      <c r="Y402" s="29"/>
      <c r="Z402" s="29"/>
      <c r="AA402" s="29"/>
      <c r="AB402" s="29">
        <v>200</v>
      </c>
      <c r="AC402" s="29">
        <v>180</v>
      </c>
      <c r="AD402" s="55">
        <v>850</v>
      </c>
      <c r="AE402" s="29">
        <v>1100</v>
      </c>
      <c r="AF402" s="5">
        <v>360</v>
      </c>
      <c r="AG402" s="29">
        <v>30</v>
      </c>
      <c r="AH402" s="29">
        <v>30</v>
      </c>
      <c r="AI402" s="29">
        <v>30</v>
      </c>
      <c r="AJ402" s="29">
        <v>30</v>
      </c>
      <c r="AK402" s="29">
        <v>30</v>
      </c>
      <c r="AL402" s="29">
        <v>30</v>
      </c>
      <c r="AM402" s="29">
        <v>30</v>
      </c>
      <c r="AN402" s="29">
        <v>30</v>
      </c>
      <c r="AO402" s="29">
        <v>30</v>
      </c>
      <c r="AP402" s="29">
        <v>30</v>
      </c>
      <c r="AQ402" s="29">
        <v>30</v>
      </c>
      <c r="AR402" s="29">
        <v>30</v>
      </c>
      <c r="AS402" s="29"/>
      <c r="AT402" s="29"/>
      <c r="AU402" s="29"/>
      <c r="AV402" s="29"/>
      <c r="AW402" s="5">
        <v>480</v>
      </c>
      <c r="AX402" s="29">
        <v>40</v>
      </c>
      <c r="AY402" s="29">
        <v>40</v>
      </c>
      <c r="AZ402" s="29">
        <v>40</v>
      </c>
      <c r="BA402" s="29">
        <v>40</v>
      </c>
      <c r="BB402" s="29">
        <v>40</v>
      </c>
      <c r="BC402" s="29">
        <v>40</v>
      </c>
      <c r="BD402" s="29">
        <v>40</v>
      </c>
      <c r="BE402" s="29">
        <v>40</v>
      </c>
      <c r="BF402" s="29">
        <v>40</v>
      </c>
      <c r="BG402" s="29">
        <v>40</v>
      </c>
      <c r="BH402" s="29">
        <v>40</v>
      </c>
      <c r="BI402" s="29">
        <v>40</v>
      </c>
      <c r="BJ402" s="29"/>
      <c r="BK402" s="29"/>
      <c r="BL402" s="29"/>
      <c r="BM402" s="29"/>
      <c r="BN402" s="36" t="s">
        <v>96</v>
      </c>
      <c r="BO402" s="26">
        <v>181.1</v>
      </c>
      <c r="BP402" s="29" t="s">
        <v>171</v>
      </c>
      <c r="BQ402" s="19">
        <v>44855</v>
      </c>
      <c r="BR402" s="29"/>
      <c r="BS402" s="34">
        <f t="shared" si="98"/>
        <v>126903.55329949239</v>
      </c>
      <c r="BT402" s="37">
        <f t="shared" si="99"/>
        <v>180.42195912175805</v>
      </c>
      <c r="BU402" s="53">
        <v>99999999</v>
      </c>
      <c r="BV402" s="53">
        <v>99999999</v>
      </c>
      <c r="BW402" s="53">
        <v>99999999</v>
      </c>
      <c r="BX402" s="53">
        <v>99999999</v>
      </c>
      <c r="BY402" s="53">
        <v>99999999</v>
      </c>
      <c r="BZ402" s="53">
        <v>99999999</v>
      </c>
      <c r="CA402" s="53">
        <v>99999999</v>
      </c>
      <c r="CB402" s="53">
        <v>99999999</v>
      </c>
      <c r="CC402" s="53">
        <v>99999999</v>
      </c>
      <c r="CD402" s="53">
        <v>99999999</v>
      </c>
      <c r="CE402" s="53">
        <v>99999999</v>
      </c>
      <c r="CF402" s="53">
        <v>99999999</v>
      </c>
      <c r="CG402" s="53">
        <v>99999999</v>
      </c>
      <c r="CH402" s="34"/>
      <c r="CI402" s="34"/>
      <c r="CJ402" s="34"/>
      <c r="CK402" s="34"/>
      <c r="CL402" s="27">
        <v>0</v>
      </c>
      <c r="CM402" s="9" t="s">
        <v>472</v>
      </c>
    </row>
    <row r="403" spans="1:91" ht="15.6" x14ac:dyDescent="0.3">
      <c r="A403" s="28" t="s">
        <v>483</v>
      </c>
      <c r="B403" s="22" t="s">
        <v>197</v>
      </c>
      <c r="C403" s="28">
        <v>125000</v>
      </c>
      <c r="D403" s="28">
        <v>125000</v>
      </c>
      <c r="E403" s="28">
        <f>D403*[1]Rentabiliteit!$V$74</f>
        <v>125000</v>
      </c>
      <c r="F403" s="28">
        <v>125000</v>
      </c>
      <c r="G403" s="37">
        <v>97.5</v>
      </c>
      <c r="H403" s="37">
        <v>96.8</v>
      </c>
      <c r="I403" s="37">
        <v>98.3</v>
      </c>
      <c r="J403" s="28">
        <v>1</v>
      </c>
      <c r="K403" s="5" t="s">
        <v>95</v>
      </c>
      <c r="L403" s="28">
        <v>9999999</v>
      </c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>
        <v>920</v>
      </c>
      <c r="AC403" s="28">
        <v>860</v>
      </c>
      <c r="AD403" s="28">
        <v>1250</v>
      </c>
      <c r="AE403" s="28">
        <v>1500</v>
      </c>
      <c r="AF403" s="5">
        <f t="shared" si="96"/>
        <v>0</v>
      </c>
      <c r="AG403" s="28">
        <v>148</v>
      </c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5">
        <f t="shared" si="97"/>
        <v>0</v>
      </c>
      <c r="AX403" s="28">
        <v>240</v>
      </c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36" t="s">
        <v>96</v>
      </c>
      <c r="BO403" s="37">
        <v>120</v>
      </c>
      <c r="BP403" s="28" t="s">
        <v>97</v>
      </c>
      <c r="BQ403" s="54">
        <v>43238</v>
      </c>
      <c r="BR403" s="28"/>
      <c r="BS403" s="34">
        <f t="shared" si="98"/>
        <v>127161.7497456765</v>
      </c>
      <c r="BT403" s="37">
        <f>F403/600/SQRT(3)</f>
        <v>120.28130608117205</v>
      </c>
      <c r="BU403" s="53">
        <v>99999999</v>
      </c>
      <c r="BV403" s="38">
        <v>99999999</v>
      </c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>
        <v>0</v>
      </c>
      <c r="CM403" s="9" t="s">
        <v>484</v>
      </c>
    </row>
    <row r="404" spans="1:91" ht="15.6" x14ac:dyDescent="0.3">
      <c r="A404" s="28" t="s">
        <v>485</v>
      </c>
      <c r="B404" s="21" t="s">
        <v>295</v>
      </c>
      <c r="C404" s="28">
        <v>125000</v>
      </c>
      <c r="D404" s="28">
        <v>125000</v>
      </c>
      <c r="E404" s="28">
        <f>D404*[1]Rentabiliteit!$V$74</f>
        <v>125000</v>
      </c>
      <c r="F404" s="28">
        <v>125000</v>
      </c>
      <c r="G404" s="37">
        <v>99</v>
      </c>
      <c r="H404" s="37">
        <v>98.7</v>
      </c>
      <c r="I404" s="37">
        <v>98.79</v>
      </c>
      <c r="J404" s="28">
        <v>6</v>
      </c>
      <c r="K404" s="5" t="s">
        <v>250</v>
      </c>
      <c r="L404" s="28">
        <v>2</v>
      </c>
      <c r="M404" s="28">
        <v>2</v>
      </c>
      <c r="N404" s="28">
        <v>2</v>
      </c>
      <c r="O404" s="28">
        <v>2</v>
      </c>
      <c r="P404" s="28">
        <v>2</v>
      </c>
      <c r="Q404" s="28">
        <v>2</v>
      </c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>
        <v>550</v>
      </c>
      <c r="AC404" s="28">
        <v>500</v>
      </c>
      <c r="AD404" s="28">
        <v>1300</v>
      </c>
      <c r="AE404" s="28">
        <v>1500</v>
      </c>
      <c r="AF404" s="5">
        <f t="shared" si="96"/>
        <v>0</v>
      </c>
      <c r="AG404" s="28">
        <v>30</v>
      </c>
      <c r="AH404" s="28">
        <v>30</v>
      </c>
      <c r="AI404" s="28">
        <v>30</v>
      </c>
      <c r="AJ404" s="28">
        <v>30</v>
      </c>
      <c r="AK404" s="28">
        <v>30</v>
      </c>
      <c r="AL404" s="28">
        <v>30</v>
      </c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5">
        <f t="shared" si="97"/>
        <v>0</v>
      </c>
      <c r="AX404" s="28">
        <v>50</v>
      </c>
      <c r="AY404" s="28">
        <v>50</v>
      </c>
      <c r="AZ404" s="28">
        <v>50</v>
      </c>
      <c r="BA404" s="28">
        <v>50</v>
      </c>
      <c r="BB404" s="28">
        <v>50</v>
      </c>
      <c r="BC404" s="28">
        <v>50</v>
      </c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36" t="s">
        <v>96</v>
      </c>
      <c r="BO404" s="37">
        <v>90.2</v>
      </c>
      <c r="BP404" s="28" t="s">
        <v>133</v>
      </c>
      <c r="BQ404" s="54">
        <v>44341</v>
      </c>
      <c r="BR404" s="28"/>
      <c r="BS404" s="34">
        <f t="shared" si="98"/>
        <v>126531.02540742989</v>
      </c>
      <c r="BT404" s="37">
        <f t="shared" ref="BT404:BT408" si="103">F404/800/SQRT(3)</f>
        <v>90.210979560879025</v>
      </c>
      <c r="BU404" s="53">
        <v>99999999</v>
      </c>
      <c r="BV404" s="38">
        <v>99999999</v>
      </c>
      <c r="BW404" s="53">
        <v>99999999</v>
      </c>
      <c r="BX404" s="38">
        <v>99999999</v>
      </c>
      <c r="BY404" s="53">
        <v>99999999</v>
      </c>
      <c r="BZ404" s="38">
        <v>99999999</v>
      </c>
      <c r="CA404" s="53">
        <v>99999999</v>
      </c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>
        <v>0</v>
      </c>
      <c r="CM404" s="9" t="s">
        <v>472</v>
      </c>
    </row>
    <row r="405" spans="1:91" ht="15.6" x14ac:dyDescent="0.3">
      <c r="A405" s="29" t="s">
        <v>486</v>
      </c>
      <c r="B405" s="21" t="s">
        <v>295</v>
      </c>
      <c r="C405" s="29">
        <v>200000</v>
      </c>
      <c r="D405" s="29">
        <v>250000</v>
      </c>
      <c r="E405" s="29">
        <f>D405*[1]Rentabiliteit!$V$74</f>
        <v>250000</v>
      </c>
      <c r="F405" s="29">
        <v>250000</v>
      </c>
      <c r="G405" s="26">
        <v>99</v>
      </c>
      <c r="H405" s="26">
        <v>98.8</v>
      </c>
      <c r="I405" s="37">
        <v>98.79</v>
      </c>
      <c r="J405" s="29">
        <v>12</v>
      </c>
      <c r="K405" s="5" t="s">
        <v>250</v>
      </c>
      <c r="L405" s="29">
        <v>2</v>
      </c>
      <c r="M405" s="29">
        <v>2</v>
      </c>
      <c r="N405" s="29">
        <v>2</v>
      </c>
      <c r="O405" s="29">
        <v>2</v>
      </c>
      <c r="P405" s="29">
        <v>2</v>
      </c>
      <c r="Q405" s="29">
        <v>2</v>
      </c>
      <c r="R405" s="29">
        <v>2</v>
      </c>
      <c r="S405" s="29">
        <v>2</v>
      </c>
      <c r="T405" s="29">
        <v>2</v>
      </c>
      <c r="U405" s="29">
        <v>2</v>
      </c>
      <c r="V405" s="29">
        <v>2</v>
      </c>
      <c r="W405" s="29">
        <v>2</v>
      </c>
      <c r="X405" s="29"/>
      <c r="Y405" s="29"/>
      <c r="Z405" s="29"/>
      <c r="AA405" s="29"/>
      <c r="AB405" s="29">
        <v>500</v>
      </c>
      <c r="AC405" s="29">
        <v>500</v>
      </c>
      <c r="AD405" s="29">
        <v>1250</v>
      </c>
      <c r="AE405" s="29">
        <v>1500</v>
      </c>
      <c r="AF405" s="5">
        <f t="shared" si="96"/>
        <v>0</v>
      </c>
      <c r="AG405" s="29">
        <v>30</v>
      </c>
      <c r="AH405" s="29">
        <v>30</v>
      </c>
      <c r="AI405" s="29">
        <v>30</v>
      </c>
      <c r="AJ405" s="29">
        <v>30</v>
      </c>
      <c r="AK405" s="29">
        <v>30</v>
      </c>
      <c r="AL405" s="29">
        <v>30</v>
      </c>
      <c r="AM405" s="29">
        <v>30</v>
      </c>
      <c r="AN405" s="29">
        <v>30</v>
      </c>
      <c r="AO405" s="29">
        <v>30</v>
      </c>
      <c r="AP405" s="29">
        <v>30</v>
      </c>
      <c r="AQ405" s="29">
        <v>30</v>
      </c>
      <c r="AR405" s="29">
        <v>30</v>
      </c>
      <c r="AS405" s="29"/>
      <c r="AT405" s="29"/>
      <c r="AU405" s="29"/>
      <c r="AV405" s="29"/>
      <c r="AW405" s="5">
        <f t="shared" si="97"/>
        <v>0</v>
      </c>
      <c r="AX405" s="29">
        <v>50</v>
      </c>
      <c r="AY405" s="29">
        <v>50</v>
      </c>
      <c r="AZ405" s="29">
        <v>50</v>
      </c>
      <c r="BA405" s="29">
        <v>50</v>
      </c>
      <c r="BB405" s="29">
        <v>50</v>
      </c>
      <c r="BC405" s="29">
        <v>50</v>
      </c>
      <c r="BD405" s="29">
        <v>50</v>
      </c>
      <c r="BE405" s="29">
        <v>50</v>
      </c>
      <c r="BF405" s="29">
        <v>50</v>
      </c>
      <c r="BG405" s="29">
        <v>50</v>
      </c>
      <c r="BH405" s="29">
        <v>50</v>
      </c>
      <c r="BI405" s="29">
        <v>50</v>
      </c>
      <c r="BJ405" s="29"/>
      <c r="BK405" s="29"/>
      <c r="BL405" s="29"/>
      <c r="BM405" s="29"/>
      <c r="BN405" s="36" t="s">
        <v>96</v>
      </c>
      <c r="BO405" s="26">
        <v>180.5</v>
      </c>
      <c r="BP405" s="29" t="s">
        <v>171</v>
      </c>
      <c r="BQ405" s="19">
        <v>44593</v>
      </c>
      <c r="BR405" s="29"/>
      <c r="BS405" s="34">
        <f t="shared" si="98"/>
        <v>253062.05081485977</v>
      </c>
      <c r="BT405" s="37">
        <f t="shared" si="103"/>
        <v>180.42195912175805</v>
      </c>
      <c r="BU405" s="53">
        <v>99999999</v>
      </c>
      <c r="BV405" s="38">
        <v>99999999</v>
      </c>
      <c r="BW405" s="38">
        <v>99999999</v>
      </c>
      <c r="BX405" s="38">
        <v>99999999</v>
      </c>
      <c r="BY405" s="38">
        <v>99999999</v>
      </c>
      <c r="BZ405" s="38">
        <v>99999999</v>
      </c>
      <c r="CA405" s="38">
        <v>99999999</v>
      </c>
      <c r="CB405" s="38">
        <v>99999999</v>
      </c>
      <c r="CC405" s="38">
        <v>99999999</v>
      </c>
      <c r="CD405" s="38">
        <v>99999999</v>
      </c>
      <c r="CE405" s="53">
        <v>99999999</v>
      </c>
      <c r="CF405" s="38">
        <v>99999999</v>
      </c>
      <c r="CG405" s="38">
        <v>99999999</v>
      </c>
      <c r="CH405" s="34"/>
      <c r="CI405" s="34"/>
      <c r="CJ405" s="34"/>
      <c r="CK405" s="34"/>
      <c r="CL405" s="27">
        <v>0</v>
      </c>
      <c r="CM405" s="9" t="s">
        <v>472</v>
      </c>
    </row>
    <row r="406" spans="1:91" ht="15.6" x14ac:dyDescent="0.3">
      <c r="A406" s="29" t="s">
        <v>487</v>
      </c>
      <c r="B406" s="21" t="s">
        <v>295</v>
      </c>
      <c r="C406" s="29">
        <v>300000</v>
      </c>
      <c r="D406" s="29">
        <v>352000</v>
      </c>
      <c r="E406" s="29">
        <f>D406*[1]Rentabiliteit!$V$74</f>
        <v>352000</v>
      </c>
      <c r="F406" s="29">
        <v>352000</v>
      </c>
      <c r="G406" s="26">
        <v>99</v>
      </c>
      <c r="H406" s="26">
        <v>98.8</v>
      </c>
      <c r="I406" s="37">
        <v>98.5</v>
      </c>
      <c r="J406" s="29">
        <v>12</v>
      </c>
      <c r="K406" s="5" t="s">
        <v>250</v>
      </c>
      <c r="L406" s="29">
        <v>2</v>
      </c>
      <c r="M406" s="29">
        <v>2</v>
      </c>
      <c r="N406" s="29">
        <v>2</v>
      </c>
      <c r="O406" s="29">
        <v>2</v>
      </c>
      <c r="P406" s="29">
        <v>2</v>
      </c>
      <c r="Q406" s="29">
        <v>2</v>
      </c>
      <c r="R406" s="29">
        <v>2</v>
      </c>
      <c r="S406" s="29">
        <v>2</v>
      </c>
      <c r="T406" s="29">
        <v>2</v>
      </c>
      <c r="U406" s="29">
        <v>2</v>
      </c>
      <c r="V406" s="29">
        <v>2</v>
      </c>
      <c r="W406" s="29">
        <v>2</v>
      </c>
      <c r="X406" s="29"/>
      <c r="Y406" s="29"/>
      <c r="Z406" s="29"/>
      <c r="AA406" s="29"/>
      <c r="AB406" s="29">
        <v>550</v>
      </c>
      <c r="AC406" s="29">
        <v>500</v>
      </c>
      <c r="AD406" s="29">
        <v>1330</v>
      </c>
      <c r="AE406" s="29">
        <v>1500</v>
      </c>
      <c r="AF406" s="5">
        <f t="shared" si="96"/>
        <v>0</v>
      </c>
      <c r="AG406" s="29">
        <v>40</v>
      </c>
      <c r="AH406" s="29">
        <v>40</v>
      </c>
      <c r="AI406" s="29">
        <v>40</v>
      </c>
      <c r="AJ406" s="29">
        <v>40</v>
      </c>
      <c r="AK406" s="29">
        <v>40</v>
      </c>
      <c r="AL406" s="29">
        <v>40</v>
      </c>
      <c r="AM406" s="29">
        <v>40</v>
      </c>
      <c r="AN406" s="29">
        <v>40</v>
      </c>
      <c r="AO406" s="29">
        <v>40</v>
      </c>
      <c r="AP406" s="29">
        <v>40</v>
      </c>
      <c r="AQ406" s="29">
        <v>40</v>
      </c>
      <c r="AR406" s="29">
        <v>40</v>
      </c>
      <c r="AS406" s="29"/>
      <c r="AT406" s="29"/>
      <c r="AU406" s="29"/>
      <c r="AV406" s="29"/>
      <c r="AW406" s="5">
        <f t="shared" si="97"/>
        <v>0</v>
      </c>
      <c r="AX406" s="29">
        <v>60</v>
      </c>
      <c r="AY406" s="29">
        <v>60</v>
      </c>
      <c r="AZ406" s="29">
        <v>60</v>
      </c>
      <c r="BA406" s="29">
        <v>60</v>
      </c>
      <c r="BB406" s="29">
        <v>60</v>
      </c>
      <c r="BC406" s="29">
        <v>60</v>
      </c>
      <c r="BD406" s="29">
        <v>60</v>
      </c>
      <c r="BE406" s="29">
        <v>60</v>
      </c>
      <c r="BF406" s="29">
        <v>60</v>
      </c>
      <c r="BG406" s="29">
        <v>60</v>
      </c>
      <c r="BH406" s="29">
        <v>60</v>
      </c>
      <c r="BI406" s="29">
        <v>60</v>
      </c>
      <c r="BJ406" s="29"/>
      <c r="BK406" s="29"/>
      <c r="BL406" s="29"/>
      <c r="BM406" s="29"/>
      <c r="BN406" s="36" t="s">
        <v>96</v>
      </c>
      <c r="BO406" s="26">
        <v>254</v>
      </c>
      <c r="BP406" s="29" t="s">
        <v>171</v>
      </c>
      <c r="BQ406" s="19">
        <v>45324</v>
      </c>
      <c r="BR406" s="29"/>
      <c r="BS406" s="34">
        <f t="shared" si="98"/>
        <v>357360.40609137056</v>
      </c>
      <c r="BT406" s="37">
        <f t="shared" si="103"/>
        <v>254.03411844343535</v>
      </c>
      <c r="BU406" s="53">
        <v>99999999</v>
      </c>
      <c r="BV406" s="38">
        <v>99999999</v>
      </c>
      <c r="BW406" s="38">
        <v>99999999</v>
      </c>
      <c r="BX406" s="38">
        <v>99999999</v>
      </c>
      <c r="BY406" s="38">
        <v>99999999</v>
      </c>
      <c r="BZ406" s="38">
        <v>99999999</v>
      </c>
      <c r="CA406" s="38">
        <v>99999999</v>
      </c>
      <c r="CB406" s="38">
        <v>99999999</v>
      </c>
      <c r="CC406" s="38">
        <v>99999999</v>
      </c>
      <c r="CD406" s="38">
        <v>99999999</v>
      </c>
      <c r="CE406" s="53">
        <v>99999999</v>
      </c>
      <c r="CF406" s="38">
        <v>99999999</v>
      </c>
      <c r="CG406" s="38">
        <v>99999999</v>
      </c>
      <c r="CH406" s="34"/>
      <c r="CI406" s="34"/>
      <c r="CJ406" s="34"/>
      <c r="CK406" s="34"/>
      <c r="CL406" s="27">
        <v>0</v>
      </c>
      <c r="CM406" s="9" t="s">
        <v>472</v>
      </c>
    </row>
    <row r="407" spans="1:91" ht="15.6" x14ac:dyDescent="0.3">
      <c r="A407" s="29" t="s">
        <v>488</v>
      </c>
      <c r="B407" s="21" t="s">
        <v>295</v>
      </c>
      <c r="C407" s="29">
        <v>300000</v>
      </c>
      <c r="D407" s="29">
        <v>352000</v>
      </c>
      <c r="E407" s="29">
        <f>D407*[1]Rentabiliteit!$V$74</f>
        <v>352000</v>
      </c>
      <c r="F407" s="29">
        <v>352000</v>
      </c>
      <c r="G407" s="26">
        <v>99</v>
      </c>
      <c r="H407" s="26">
        <v>98.8</v>
      </c>
      <c r="I407" s="37">
        <v>98.5</v>
      </c>
      <c r="J407" s="29">
        <v>14</v>
      </c>
      <c r="K407" s="5" t="s">
        <v>250</v>
      </c>
      <c r="L407" s="29">
        <v>2</v>
      </c>
      <c r="M407" s="29">
        <v>2</v>
      </c>
      <c r="N407" s="29">
        <v>2</v>
      </c>
      <c r="O407" s="29">
        <v>2</v>
      </c>
      <c r="P407" s="29">
        <v>2</v>
      </c>
      <c r="Q407" s="29">
        <v>2</v>
      </c>
      <c r="R407" s="29">
        <v>2</v>
      </c>
      <c r="S407" s="29">
        <v>2</v>
      </c>
      <c r="T407" s="29">
        <v>2</v>
      </c>
      <c r="U407" s="29">
        <v>2</v>
      </c>
      <c r="V407" s="29">
        <v>2</v>
      </c>
      <c r="W407" s="29">
        <v>2</v>
      </c>
      <c r="X407" s="29">
        <v>2</v>
      </c>
      <c r="Y407" s="29">
        <v>2</v>
      </c>
      <c r="Z407" s="29"/>
      <c r="AA407" s="29"/>
      <c r="AB407" s="29">
        <v>550</v>
      </c>
      <c r="AC407" s="29">
        <v>500</v>
      </c>
      <c r="AD407" s="29">
        <v>1330</v>
      </c>
      <c r="AE407" s="29">
        <v>1500</v>
      </c>
      <c r="AF407" s="5">
        <f t="shared" ref="AF407" si="104">IF(OR($K407=1,$L407="Yes"),SUM(AG407:AV407),0)</f>
        <v>0</v>
      </c>
      <c r="AG407" s="29">
        <v>30</v>
      </c>
      <c r="AH407" s="29">
        <v>30</v>
      </c>
      <c r="AI407" s="29">
        <v>30</v>
      </c>
      <c r="AJ407" s="29">
        <v>30</v>
      </c>
      <c r="AK407" s="29">
        <v>30</v>
      </c>
      <c r="AL407" s="29">
        <v>30</v>
      </c>
      <c r="AM407" s="29">
        <v>30</v>
      </c>
      <c r="AN407" s="29">
        <v>30</v>
      </c>
      <c r="AO407" s="29">
        <v>30</v>
      </c>
      <c r="AP407" s="29">
        <v>30</v>
      </c>
      <c r="AQ407" s="29">
        <v>30</v>
      </c>
      <c r="AR407" s="29">
        <v>30</v>
      </c>
      <c r="AS407" s="29">
        <v>30</v>
      </c>
      <c r="AT407" s="29">
        <v>30</v>
      </c>
      <c r="AU407" s="29"/>
      <c r="AV407" s="29"/>
      <c r="AW407" s="5">
        <f t="shared" si="97"/>
        <v>0</v>
      </c>
      <c r="AX407" s="29">
        <v>60</v>
      </c>
      <c r="AY407" s="29">
        <v>60</v>
      </c>
      <c r="AZ407" s="29">
        <v>60</v>
      </c>
      <c r="BA407" s="29">
        <v>60</v>
      </c>
      <c r="BB407" s="29">
        <v>60</v>
      </c>
      <c r="BC407" s="29">
        <v>60</v>
      </c>
      <c r="BD407" s="29">
        <v>60</v>
      </c>
      <c r="BE407" s="29">
        <v>60</v>
      </c>
      <c r="BF407" s="29">
        <v>60</v>
      </c>
      <c r="BG407" s="29">
        <v>60</v>
      </c>
      <c r="BH407" s="29">
        <v>60</v>
      </c>
      <c r="BI407" s="29">
        <v>60</v>
      </c>
      <c r="BJ407" s="29">
        <v>60</v>
      </c>
      <c r="BK407" s="29">
        <v>60</v>
      </c>
      <c r="BL407" s="29"/>
      <c r="BM407" s="29"/>
      <c r="BN407" s="36" t="s">
        <v>96</v>
      </c>
      <c r="BO407" s="26">
        <v>254</v>
      </c>
      <c r="BP407" s="29" t="s">
        <v>171</v>
      </c>
      <c r="BQ407" s="19">
        <v>45324</v>
      </c>
      <c r="BR407" s="29"/>
      <c r="BS407" s="34">
        <f t="shared" si="98"/>
        <v>357360.40609137056</v>
      </c>
      <c r="BT407" s="37">
        <f t="shared" si="103"/>
        <v>254.03411844343535</v>
      </c>
      <c r="BU407" s="53">
        <v>99999999</v>
      </c>
      <c r="BV407" s="38">
        <v>99999999</v>
      </c>
      <c r="BW407" s="38">
        <v>99999999</v>
      </c>
      <c r="BX407" s="38">
        <v>99999999</v>
      </c>
      <c r="BY407" s="38">
        <v>99999999</v>
      </c>
      <c r="BZ407" s="38">
        <v>99999999</v>
      </c>
      <c r="CA407" s="38">
        <v>99999999</v>
      </c>
      <c r="CB407" s="38">
        <v>99999999</v>
      </c>
      <c r="CC407" s="38">
        <v>99999999</v>
      </c>
      <c r="CD407" s="38">
        <v>99999999</v>
      </c>
      <c r="CE407" s="53">
        <v>99999999</v>
      </c>
      <c r="CF407" s="38">
        <v>99999999</v>
      </c>
      <c r="CG407" s="38">
        <v>99999999</v>
      </c>
      <c r="CH407" s="38">
        <v>99999999</v>
      </c>
      <c r="CI407" s="38">
        <v>99999999</v>
      </c>
      <c r="CJ407" s="34"/>
      <c r="CK407" s="34"/>
      <c r="CL407" s="27">
        <v>0</v>
      </c>
      <c r="CM407" s="9" t="s">
        <v>489</v>
      </c>
    </row>
    <row r="408" spans="1:91" ht="15.6" x14ac:dyDescent="0.3">
      <c r="A408" s="29" t="s">
        <v>490</v>
      </c>
      <c r="B408" s="21" t="s">
        <v>295</v>
      </c>
      <c r="C408" s="29">
        <v>300000</v>
      </c>
      <c r="D408" s="29">
        <v>352000</v>
      </c>
      <c r="E408" s="29">
        <f>D408*[1]Rentabiliteit!$V$74</f>
        <v>352000</v>
      </c>
      <c r="F408" s="29">
        <v>352000</v>
      </c>
      <c r="G408" s="26">
        <v>99</v>
      </c>
      <c r="H408" s="26">
        <v>98.8</v>
      </c>
      <c r="I408" s="37">
        <v>98.5</v>
      </c>
      <c r="J408" s="29">
        <v>16</v>
      </c>
      <c r="K408" s="5" t="s">
        <v>250</v>
      </c>
      <c r="L408" s="29">
        <v>2</v>
      </c>
      <c r="M408" s="29">
        <v>2</v>
      </c>
      <c r="N408" s="29">
        <v>2</v>
      </c>
      <c r="O408" s="29">
        <v>2</v>
      </c>
      <c r="P408" s="29">
        <v>2</v>
      </c>
      <c r="Q408" s="29">
        <v>2</v>
      </c>
      <c r="R408" s="29">
        <v>2</v>
      </c>
      <c r="S408" s="29">
        <v>2</v>
      </c>
      <c r="T408" s="29">
        <v>2</v>
      </c>
      <c r="U408" s="29">
        <v>2</v>
      </c>
      <c r="V408" s="29">
        <v>2</v>
      </c>
      <c r="W408" s="29">
        <v>2</v>
      </c>
      <c r="X408" s="29">
        <v>2</v>
      </c>
      <c r="Y408" s="29">
        <v>2</v>
      </c>
      <c r="Z408" s="29">
        <v>2</v>
      </c>
      <c r="AA408" s="29">
        <v>2</v>
      </c>
      <c r="AB408" s="29">
        <v>550</v>
      </c>
      <c r="AC408" s="29">
        <v>500</v>
      </c>
      <c r="AD408" s="29">
        <v>1330</v>
      </c>
      <c r="AE408" s="29">
        <v>1500</v>
      </c>
      <c r="AF408" s="5">
        <f t="shared" si="96"/>
        <v>0</v>
      </c>
      <c r="AG408" s="29">
        <v>30</v>
      </c>
      <c r="AH408" s="29">
        <v>30</v>
      </c>
      <c r="AI408" s="29">
        <v>30</v>
      </c>
      <c r="AJ408" s="29">
        <v>30</v>
      </c>
      <c r="AK408" s="29">
        <v>30</v>
      </c>
      <c r="AL408" s="29">
        <v>30</v>
      </c>
      <c r="AM408" s="29">
        <v>30</v>
      </c>
      <c r="AN408" s="29">
        <v>30</v>
      </c>
      <c r="AO408" s="29">
        <v>30</v>
      </c>
      <c r="AP408" s="29">
        <v>30</v>
      </c>
      <c r="AQ408" s="29">
        <v>30</v>
      </c>
      <c r="AR408" s="29">
        <v>30</v>
      </c>
      <c r="AS408" s="29">
        <v>30</v>
      </c>
      <c r="AT408" s="29">
        <v>30</v>
      </c>
      <c r="AU408" s="29">
        <v>30</v>
      </c>
      <c r="AV408" s="29">
        <v>30</v>
      </c>
      <c r="AW408" s="5">
        <f t="shared" si="97"/>
        <v>0</v>
      </c>
      <c r="AX408" s="29">
        <v>60</v>
      </c>
      <c r="AY408" s="29">
        <v>60</v>
      </c>
      <c r="AZ408" s="29">
        <v>60</v>
      </c>
      <c r="BA408" s="29">
        <v>60</v>
      </c>
      <c r="BB408" s="29">
        <v>60</v>
      </c>
      <c r="BC408" s="29">
        <v>60</v>
      </c>
      <c r="BD408" s="29">
        <v>60</v>
      </c>
      <c r="BE408" s="29">
        <v>60</v>
      </c>
      <c r="BF408" s="29">
        <v>60</v>
      </c>
      <c r="BG408" s="29">
        <v>60</v>
      </c>
      <c r="BH408" s="29">
        <v>60</v>
      </c>
      <c r="BI408" s="29">
        <v>60</v>
      </c>
      <c r="BJ408" s="29">
        <v>60</v>
      </c>
      <c r="BK408" s="29">
        <v>60</v>
      </c>
      <c r="BL408" s="29">
        <v>60</v>
      </c>
      <c r="BM408" s="29">
        <v>60</v>
      </c>
      <c r="BN408" s="36" t="s">
        <v>96</v>
      </c>
      <c r="BO408" s="26">
        <v>254</v>
      </c>
      <c r="BP408" s="29" t="s">
        <v>171</v>
      </c>
      <c r="BQ408" s="19">
        <v>45324</v>
      </c>
      <c r="BR408" s="29"/>
      <c r="BS408" s="34">
        <f t="shared" si="98"/>
        <v>357360.40609137056</v>
      </c>
      <c r="BT408" s="37">
        <f t="shared" si="103"/>
        <v>254.03411844343535</v>
      </c>
      <c r="BU408" s="53">
        <v>99999999</v>
      </c>
      <c r="BV408" s="38">
        <v>99999999</v>
      </c>
      <c r="BW408" s="38">
        <v>99999999</v>
      </c>
      <c r="BX408" s="38">
        <v>99999999</v>
      </c>
      <c r="BY408" s="38">
        <v>99999999</v>
      </c>
      <c r="BZ408" s="38">
        <v>99999999</v>
      </c>
      <c r="CA408" s="38">
        <v>99999999</v>
      </c>
      <c r="CB408" s="38">
        <v>99999999</v>
      </c>
      <c r="CC408" s="38">
        <v>99999999</v>
      </c>
      <c r="CD408" s="38">
        <v>99999999</v>
      </c>
      <c r="CE408" s="53">
        <v>99999999</v>
      </c>
      <c r="CF408" s="38">
        <v>99999999</v>
      </c>
      <c r="CG408" s="38">
        <v>99999999</v>
      </c>
      <c r="CH408" s="38">
        <v>99999999</v>
      </c>
      <c r="CI408" s="38">
        <v>99999999</v>
      </c>
      <c r="CJ408" s="38">
        <v>99999999</v>
      </c>
      <c r="CK408" s="38">
        <v>99999999</v>
      </c>
      <c r="CL408" s="27">
        <v>0</v>
      </c>
      <c r="CM408" s="9" t="s">
        <v>489</v>
      </c>
    </row>
    <row r="409" spans="1:91" ht="15.6" x14ac:dyDescent="0.3">
      <c r="A409" s="5" t="s">
        <v>122</v>
      </c>
      <c r="B409" s="22"/>
      <c r="C409" s="5"/>
      <c r="D409" s="5"/>
      <c r="E409" s="5"/>
      <c r="F409" s="5"/>
      <c r="G409" s="6"/>
      <c r="H409" s="6"/>
      <c r="I409" s="6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6"/>
      <c r="BP409" s="5"/>
      <c r="BQ409" s="8"/>
      <c r="BR409" s="5"/>
      <c r="BS409" s="9">
        <v>9999999</v>
      </c>
      <c r="BT409" s="6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9"/>
      <c r="CM409" s="9"/>
    </row>
    <row r="410" spans="1:91" ht="15.6" x14ac:dyDescent="0.3">
      <c r="A410" s="56"/>
      <c r="B410" s="57"/>
      <c r="C410" s="58"/>
      <c r="D410" s="58"/>
      <c r="E410" s="58"/>
      <c r="F410" s="58"/>
      <c r="G410" s="59"/>
      <c r="H410" s="59"/>
      <c r="I410" s="59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9"/>
      <c r="BP410" s="58"/>
      <c r="BQ410" s="60"/>
      <c r="BR410" s="11"/>
      <c r="BS410" s="12"/>
      <c r="BT410" s="3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2"/>
      <c r="CM410" s="12"/>
    </row>
    <row r="411" spans="1:91" ht="15.6" x14ac:dyDescent="0.3">
      <c r="A411" s="1" t="s">
        <v>491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11"/>
      <c r="BS411" s="12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</row>
    <row r="412" spans="1:91" x14ac:dyDescent="0.3">
      <c r="A412" s="5" t="s">
        <v>1</v>
      </c>
      <c r="B412" s="5" t="s">
        <v>2</v>
      </c>
      <c r="C412" s="5" t="s">
        <v>3</v>
      </c>
      <c r="D412" s="5" t="s">
        <v>4</v>
      </c>
      <c r="E412" s="5" t="s">
        <v>5</v>
      </c>
      <c r="F412" s="5" t="s">
        <v>6</v>
      </c>
      <c r="G412" s="5" t="s">
        <v>7</v>
      </c>
      <c r="H412" s="5" t="s">
        <v>8</v>
      </c>
      <c r="I412" s="5" t="s">
        <v>9</v>
      </c>
      <c r="J412" s="5" t="s">
        <v>10</v>
      </c>
      <c r="K412" s="5" t="s">
        <v>11</v>
      </c>
      <c r="L412" s="5" t="s">
        <v>12</v>
      </c>
      <c r="M412" s="5" t="s">
        <v>13</v>
      </c>
      <c r="N412" s="5" t="s">
        <v>14</v>
      </c>
      <c r="O412" s="5" t="s">
        <v>15</v>
      </c>
      <c r="P412" s="5" t="s">
        <v>16</v>
      </c>
      <c r="Q412" s="5" t="s">
        <v>17</v>
      </c>
      <c r="R412" s="5" t="s">
        <v>18</v>
      </c>
      <c r="S412" s="5" t="s">
        <v>19</v>
      </c>
      <c r="T412" s="5" t="s">
        <v>20</v>
      </c>
      <c r="U412" s="5" t="s">
        <v>21</v>
      </c>
      <c r="V412" s="5" t="s">
        <v>22</v>
      </c>
      <c r="W412" s="5" t="s">
        <v>23</v>
      </c>
      <c r="X412" s="5" t="s">
        <v>24</v>
      </c>
      <c r="Y412" s="5" t="s">
        <v>25</v>
      </c>
      <c r="Z412" s="5" t="s">
        <v>26</v>
      </c>
      <c r="AA412" s="5" t="s">
        <v>27</v>
      </c>
      <c r="AB412" s="5" t="s">
        <v>28</v>
      </c>
      <c r="AC412" s="5" t="s">
        <v>29</v>
      </c>
      <c r="AD412" s="5" t="s">
        <v>30</v>
      </c>
      <c r="AE412" s="5" t="s">
        <v>31</v>
      </c>
      <c r="AF412" s="5" t="s">
        <v>32</v>
      </c>
      <c r="AG412" s="5" t="s">
        <v>33</v>
      </c>
      <c r="AH412" s="5" t="s">
        <v>34</v>
      </c>
      <c r="AI412" s="5" t="s">
        <v>35</v>
      </c>
      <c r="AJ412" s="5" t="s">
        <v>36</v>
      </c>
      <c r="AK412" s="5" t="s">
        <v>37</v>
      </c>
      <c r="AL412" s="5" t="s">
        <v>38</v>
      </c>
      <c r="AM412" s="5" t="s">
        <v>39</v>
      </c>
      <c r="AN412" s="5" t="s">
        <v>40</v>
      </c>
      <c r="AO412" s="5" t="s">
        <v>41</v>
      </c>
      <c r="AP412" s="5" t="s">
        <v>42</v>
      </c>
      <c r="AQ412" s="5" t="s">
        <v>43</v>
      </c>
      <c r="AR412" s="5" t="s">
        <v>44</v>
      </c>
      <c r="AS412" s="5" t="s">
        <v>45</v>
      </c>
      <c r="AT412" s="5" t="s">
        <v>46</v>
      </c>
      <c r="AU412" s="5" t="s">
        <v>47</v>
      </c>
      <c r="AV412" s="5" t="s">
        <v>48</v>
      </c>
      <c r="AW412" s="5" t="s">
        <v>49</v>
      </c>
      <c r="AX412" s="5" t="s">
        <v>50</v>
      </c>
      <c r="AY412" s="5" t="s">
        <v>51</v>
      </c>
      <c r="AZ412" s="5" t="s">
        <v>52</v>
      </c>
      <c r="BA412" s="5" t="s">
        <v>53</v>
      </c>
      <c r="BB412" s="5" t="s">
        <v>54</v>
      </c>
      <c r="BC412" s="5" t="s">
        <v>55</v>
      </c>
      <c r="BD412" s="5" t="s">
        <v>56</v>
      </c>
      <c r="BE412" s="5" t="s">
        <v>57</v>
      </c>
      <c r="BF412" s="5" t="s">
        <v>58</v>
      </c>
      <c r="BG412" s="5" t="s">
        <v>59</v>
      </c>
      <c r="BH412" s="5" t="s">
        <v>60</v>
      </c>
      <c r="BI412" s="5" t="s">
        <v>61</v>
      </c>
      <c r="BJ412" s="5" t="s">
        <v>62</v>
      </c>
      <c r="BK412" s="5" t="s">
        <v>63</v>
      </c>
      <c r="BL412" s="5" t="s">
        <v>64</v>
      </c>
      <c r="BM412" s="5" t="s">
        <v>65</v>
      </c>
      <c r="BN412" s="5" t="s">
        <v>66</v>
      </c>
      <c r="BO412" s="5" t="s">
        <v>67</v>
      </c>
      <c r="BP412" s="5" t="s">
        <v>68</v>
      </c>
      <c r="BQ412" s="5" t="s">
        <v>69</v>
      </c>
      <c r="BR412" s="5" t="s">
        <v>70</v>
      </c>
      <c r="BS412" s="5" t="s">
        <v>71</v>
      </c>
      <c r="BT412" s="5" t="s">
        <v>72</v>
      </c>
      <c r="BU412" s="5" t="s">
        <v>73</v>
      </c>
      <c r="BV412" s="5" t="s">
        <v>74</v>
      </c>
      <c r="BW412" s="5" t="s">
        <v>75</v>
      </c>
      <c r="BX412" s="5" t="s">
        <v>76</v>
      </c>
      <c r="BY412" s="5" t="s">
        <v>77</v>
      </c>
      <c r="BZ412" s="5" t="s">
        <v>78</v>
      </c>
      <c r="CA412" s="5" t="s">
        <v>79</v>
      </c>
      <c r="CB412" s="5" t="s">
        <v>80</v>
      </c>
      <c r="CC412" s="5" t="s">
        <v>81</v>
      </c>
      <c r="CD412" s="5" t="s">
        <v>82</v>
      </c>
      <c r="CE412" s="5" t="s">
        <v>83</v>
      </c>
      <c r="CF412" s="5" t="s">
        <v>84</v>
      </c>
      <c r="CG412" s="5" t="s">
        <v>85</v>
      </c>
      <c r="CH412" s="5" t="s">
        <v>86</v>
      </c>
      <c r="CI412" s="5" t="s">
        <v>87</v>
      </c>
      <c r="CJ412" s="5" t="s">
        <v>88</v>
      </c>
      <c r="CK412" s="5" t="s">
        <v>89</v>
      </c>
      <c r="CL412" s="5" t="s">
        <v>90</v>
      </c>
      <c r="CM412" s="5" t="s">
        <v>91</v>
      </c>
    </row>
    <row r="413" spans="1:91" x14ac:dyDescent="0.3">
      <c r="A413" s="5" t="s">
        <v>92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</row>
    <row r="414" spans="1:91" ht="15.6" x14ac:dyDescent="0.3">
      <c r="A414" s="5" t="s">
        <v>492</v>
      </c>
      <c r="B414" s="16" t="s">
        <v>109</v>
      </c>
      <c r="C414" s="5">
        <v>10000</v>
      </c>
      <c r="D414" s="5">
        <v>10000</v>
      </c>
      <c r="E414" s="29">
        <f>D414*[1]Rentabiliteit!$V$74</f>
        <v>10000</v>
      </c>
      <c r="F414" s="5">
        <v>10000</v>
      </c>
      <c r="G414" s="5">
        <v>98.3</v>
      </c>
      <c r="H414" s="5">
        <v>97.7</v>
      </c>
      <c r="I414" s="14"/>
      <c r="J414" s="5">
        <v>2</v>
      </c>
      <c r="K414" s="5" t="s">
        <v>113</v>
      </c>
      <c r="L414" s="5">
        <v>1</v>
      </c>
      <c r="M414" s="5">
        <v>1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29">
        <v>160</v>
      </c>
      <c r="AC414" s="29">
        <v>180</v>
      </c>
      <c r="AD414" s="55">
        <v>850</v>
      </c>
      <c r="AE414" s="29">
        <v>1000</v>
      </c>
      <c r="AF414" s="5">
        <f t="shared" ref="AF414:AF431" si="105">IF(OR($K414=1,$L414="Yes"),SUM(AG414:AV414),0)</f>
        <v>0</v>
      </c>
      <c r="AG414" s="5">
        <v>12.5</v>
      </c>
      <c r="AH414" s="5">
        <v>12.5</v>
      </c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>
        <f t="shared" ref="AW414:AW431" si="106">IF(OR($K414=1,$L414="Yes"),SUM(AX414:BM414),0)</f>
        <v>0</v>
      </c>
      <c r="AX414" s="5">
        <v>15.6</v>
      </c>
      <c r="AY414" s="5">
        <v>15.6</v>
      </c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32" t="s">
        <v>96</v>
      </c>
      <c r="BO414" s="5">
        <v>16</v>
      </c>
      <c r="BP414" s="5" t="s">
        <v>171</v>
      </c>
      <c r="BQ414" s="8">
        <v>44830</v>
      </c>
      <c r="BR414" s="5"/>
      <c r="BS414" s="34">
        <f t="shared" ref="BS414:BS431" si="107">E414/(IF(I414=0,G414,I414)/100)</f>
        <v>10172.93997965412</v>
      </c>
      <c r="BT414" s="37">
        <f t="shared" ref="BT414:BT431" si="108">F414/800/SQRT(3)</f>
        <v>7.2168783648703227</v>
      </c>
      <c r="BU414" s="53">
        <v>99999999</v>
      </c>
      <c r="BV414" s="38">
        <v>99999999</v>
      </c>
      <c r="BW414" s="38">
        <v>99999999</v>
      </c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27">
        <v>0</v>
      </c>
      <c r="CM414" s="9" t="s">
        <v>493</v>
      </c>
    </row>
    <row r="415" spans="1:91" ht="15.6" x14ac:dyDescent="0.3">
      <c r="A415" s="5" t="s">
        <v>494</v>
      </c>
      <c r="B415" s="16" t="s">
        <v>109</v>
      </c>
      <c r="C415" s="5">
        <v>12000</v>
      </c>
      <c r="D415" s="5">
        <v>12000</v>
      </c>
      <c r="E415" s="29">
        <f>D415*[1]Rentabiliteit!$V$74</f>
        <v>12000</v>
      </c>
      <c r="F415" s="5">
        <v>12000</v>
      </c>
      <c r="G415" s="5">
        <v>98.3</v>
      </c>
      <c r="H415" s="5">
        <v>97.7</v>
      </c>
      <c r="I415" s="14"/>
      <c r="J415" s="5">
        <v>2</v>
      </c>
      <c r="K415" s="5" t="s">
        <v>113</v>
      </c>
      <c r="L415" s="5">
        <v>1</v>
      </c>
      <c r="M415" s="5">
        <v>2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29">
        <v>160</v>
      </c>
      <c r="AC415" s="29">
        <v>180</v>
      </c>
      <c r="AD415" s="55">
        <v>850</v>
      </c>
      <c r="AE415" s="29">
        <v>1000</v>
      </c>
      <c r="AF415" s="5">
        <f t="shared" si="105"/>
        <v>0</v>
      </c>
      <c r="AG415" s="5">
        <v>12.5</v>
      </c>
      <c r="AH415" s="5">
        <v>25</v>
      </c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>
        <f t="shared" si="106"/>
        <v>0</v>
      </c>
      <c r="AX415" s="5">
        <v>15.6</v>
      </c>
      <c r="AY415" s="5">
        <v>31.2</v>
      </c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32" t="s">
        <v>96</v>
      </c>
      <c r="BO415" s="5">
        <v>20.3</v>
      </c>
      <c r="BP415" s="5" t="s">
        <v>171</v>
      </c>
      <c r="BQ415" s="8">
        <v>44830</v>
      </c>
      <c r="BR415" s="5"/>
      <c r="BS415" s="34">
        <f t="shared" si="107"/>
        <v>12207.527975584944</v>
      </c>
      <c r="BT415" s="37">
        <f t="shared" si="108"/>
        <v>8.6602540378443873</v>
      </c>
      <c r="BU415" s="53">
        <v>99999999</v>
      </c>
      <c r="BV415" s="38">
        <v>99999999</v>
      </c>
      <c r="BW415" s="38">
        <v>99999999</v>
      </c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27">
        <v>0</v>
      </c>
      <c r="CM415" s="9" t="s">
        <v>493</v>
      </c>
    </row>
    <row r="416" spans="1:91" ht="15.6" x14ac:dyDescent="0.3">
      <c r="A416" s="5" t="s">
        <v>495</v>
      </c>
      <c r="B416" s="16" t="s">
        <v>109</v>
      </c>
      <c r="C416" s="5">
        <v>15000</v>
      </c>
      <c r="D416" s="5">
        <v>15000</v>
      </c>
      <c r="E416" s="29">
        <f>D416*[1]Rentabiliteit!$V$74</f>
        <v>15000</v>
      </c>
      <c r="F416" s="5">
        <v>15000</v>
      </c>
      <c r="G416" s="5">
        <v>98.3</v>
      </c>
      <c r="H416" s="5">
        <v>97.7</v>
      </c>
      <c r="I416" s="14"/>
      <c r="J416" s="5">
        <v>2</v>
      </c>
      <c r="K416" s="5" t="s">
        <v>113</v>
      </c>
      <c r="L416" s="5">
        <v>2</v>
      </c>
      <c r="M416" s="5">
        <v>2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29">
        <v>160</v>
      </c>
      <c r="AC416" s="29">
        <v>180</v>
      </c>
      <c r="AD416" s="55">
        <v>850</v>
      </c>
      <c r="AE416" s="29">
        <v>1000</v>
      </c>
      <c r="AF416" s="5">
        <f t="shared" si="105"/>
        <v>0</v>
      </c>
      <c r="AG416" s="5">
        <v>12.5</v>
      </c>
      <c r="AH416" s="5">
        <v>25</v>
      </c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>
        <f t="shared" si="106"/>
        <v>0</v>
      </c>
      <c r="AX416" s="5">
        <v>15.6</v>
      </c>
      <c r="AY416" s="5">
        <v>31.2</v>
      </c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32" t="s">
        <v>96</v>
      </c>
      <c r="BO416" s="5">
        <v>24</v>
      </c>
      <c r="BP416" s="5" t="s">
        <v>171</v>
      </c>
      <c r="BQ416" s="8">
        <v>44830</v>
      </c>
      <c r="BR416" s="5"/>
      <c r="BS416" s="34">
        <f t="shared" si="107"/>
        <v>15259.409969481181</v>
      </c>
      <c r="BT416" s="37">
        <f t="shared" si="108"/>
        <v>10.825317547305485</v>
      </c>
      <c r="BU416" s="53">
        <v>99999999</v>
      </c>
      <c r="BV416" s="38">
        <v>99999999</v>
      </c>
      <c r="BW416" s="38">
        <v>99999999</v>
      </c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27">
        <v>0</v>
      </c>
      <c r="CM416" s="9" t="s">
        <v>493</v>
      </c>
    </row>
    <row r="417" spans="1:91" ht="15.6" x14ac:dyDescent="0.3">
      <c r="A417" s="5" t="s">
        <v>496</v>
      </c>
      <c r="B417" s="16" t="s">
        <v>109</v>
      </c>
      <c r="C417" s="5">
        <v>17000</v>
      </c>
      <c r="D417" s="5">
        <v>17000</v>
      </c>
      <c r="E417" s="29">
        <f>D417*[1]Rentabiliteit!$V$74</f>
        <v>17000</v>
      </c>
      <c r="F417" s="5">
        <v>17000</v>
      </c>
      <c r="G417" s="5">
        <v>98.4</v>
      </c>
      <c r="H417" s="5">
        <v>97.7</v>
      </c>
      <c r="I417" s="14"/>
      <c r="J417" s="5">
        <v>2</v>
      </c>
      <c r="K417" s="5" t="s">
        <v>113</v>
      </c>
      <c r="L417" s="5">
        <v>2</v>
      </c>
      <c r="M417" s="5">
        <v>2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29">
        <v>180</v>
      </c>
      <c r="AC417" s="29">
        <v>200</v>
      </c>
      <c r="AD417" s="55">
        <v>980</v>
      </c>
      <c r="AE417" s="29">
        <v>1100</v>
      </c>
      <c r="AF417" s="5">
        <f t="shared" si="105"/>
        <v>0</v>
      </c>
      <c r="AG417" s="5">
        <v>25</v>
      </c>
      <c r="AH417" s="5">
        <v>25</v>
      </c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>
        <f t="shared" si="106"/>
        <v>0</v>
      </c>
      <c r="AX417" s="5">
        <v>31.2</v>
      </c>
      <c r="AY417" s="5">
        <v>31.2</v>
      </c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32" t="s">
        <v>96</v>
      </c>
      <c r="BO417" s="5">
        <v>28.8</v>
      </c>
      <c r="BP417" s="5" t="s">
        <v>171</v>
      </c>
      <c r="BQ417" s="8">
        <v>44830</v>
      </c>
      <c r="BR417" s="5"/>
      <c r="BS417" s="34">
        <f t="shared" si="107"/>
        <v>17276.422764227642</v>
      </c>
      <c r="BT417" s="37">
        <f t="shared" si="108"/>
        <v>12.268693220279548</v>
      </c>
      <c r="BU417" s="53">
        <v>99999999</v>
      </c>
      <c r="BV417" s="38">
        <v>99999999</v>
      </c>
      <c r="BW417" s="38">
        <v>99999999</v>
      </c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27">
        <v>0</v>
      </c>
      <c r="CM417" s="9" t="s">
        <v>493</v>
      </c>
    </row>
    <row r="418" spans="1:91" ht="15.6" x14ac:dyDescent="0.3">
      <c r="A418" s="5" t="s">
        <v>497</v>
      </c>
      <c r="B418" s="16" t="s">
        <v>109</v>
      </c>
      <c r="C418" s="5">
        <v>20000</v>
      </c>
      <c r="D418" s="5">
        <v>20000</v>
      </c>
      <c r="E418" s="29">
        <f>D418*[1]Rentabiliteit!$V$74</f>
        <v>20000</v>
      </c>
      <c r="F418" s="5">
        <v>20000</v>
      </c>
      <c r="G418" s="5">
        <v>98.4</v>
      </c>
      <c r="H418" s="5">
        <v>97.7</v>
      </c>
      <c r="I418" s="14"/>
      <c r="J418" s="5">
        <v>2</v>
      </c>
      <c r="K418" s="5" t="s">
        <v>113</v>
      </c>
      <c r="L418" s="5">
        <v>2</v>
      </c>
      <c r="M418" s="5">
        <v>2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29">
        <v>180</v>
      </c>
      <c r="AC418" s="29">
        <v>200</v>
      </c>
      <c r="AD418" s="55">
        <v>980</v>
      </c>
      <c r="AE418" s="29">
        <v>1100</v>
      </c>
      <c r="AF418" s="5">
        <f t="shared" si="105"/>
        <v>0</v>
      </c>
      <c r="AG418" s="5">
        <v>25</v>
      </c>
      <c r="AH418" s="5">
        <v>25</v>
      </c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>
        <f t="shared" si="106"/>
        <v>0</v>
      </c>
      <c r="AX418" s="5">
        <v>31.2</v>
      </c>
      <c r="AY418" s="5">
        <v>31.2</v>
      </c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32" t="s">
        <v>96</v>
      </c>
      <c r="BO418" s="5">
        <v>31.9</v>
      </c>
      <c r="BP418" s="5" t="s">
        <v>171</v>
      </c>
      <c r="BQ418" s="8">
        <v>44830</v>
      </c>
      <c r="BR418" s="5"/>
      <c r="BS418" s="34">
        <f t="shared" si="107"/>
        <v>20325.203252032519</v>
      </c>
      <c r="BT418" s="37">
        <f t="shared" si="108"/>
        <v>14.433756729740645</v>
      </c>
      <c r="BU418" s="53">
        <v>99999999</v>
      </c>
      <c r="BV418" s="38">
        <v>99999999</v>
      </c>
      <c r="BW418" s="38">
        <v>99999999</v>
      </c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27">
        <v>0</v>
      </c>
      <c r="CM418" s="9" t="s">
        <v>493</v>
      </c>
    </row>
    <row r="419" spans="1:91" ht="15.6" x14ac:dyDescent="0.3">
      <c r="A419" s="5" t="s">
        <v>498</v>
      </c>
      <c r="B419" s="16" t="s">
        <v>109</v>
      </c>
      <c r="C419" s="5">
        <v>25000</v>
      </c>
      <c r="D419" s="5">
        <v>25000</v>
      </c>
      <c r="E419" s="29">
        <f>D419*[1]Rentabiliteit!$V$74</f>
        <v>25000</v>
      </c>
      <c r="F419" s="5">
        <v>25000</v>
      </c>
      <c r="G419" s="5">
        <v>98.4</v>
      </c>
      <c r="H419" s="5">
        <v>97.7</v>
      </c>
      <c r="I419" s="14"/>
      <c r="J419" s="5">
        <v>2</v>
      </c>
      <c r="K419" s="5" t="s">
        <v>113</v>
      </c>
      <c r="L419" s="5">
        <v>2</v>
      </c>
      <c r="M419" s="5">
        <v>2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29">
        <v>180</v>
      </c>
      <c r="AC419" s="29">
        <v>200</v>
      </c>
      <c r="AD419" s="55">
        <v>980</v>
      </c>
      <c r="AE419" s="29">
        <v>1100</v>
      </c>
      <c r="AF419" s="5">
        <f t="shared" si="105"/>
        <v>0</v>
      </c>
      <c r="AG419" s="5">
        <v>25</v>
      </c>
      <c r="AH419" s="5">
        <v>25</v>
      </c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>
        <f t="shared" si="106"/>
        <v>0</v>
      </c>
      <c r="AX419" s="5">
        <v>46.8</v>
      </c>
      <c r="AY419" s="5">
        <v>31.2</v>
      </c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32" t="s">
        <v>96</v>
      </c>
      <c r="BO419" s="5">
        <v>40.799999999999997</v>
      </c>
      <c r="BP419" s="5" t="s">
        <v>171</v>
      </c>
      <c r="BQ419" s="8">
        <v>44830</v>
      </c>
      <c r="BR419" s="5"/>
      <c r="BS419" s="34">
        <f t="shared" si="107"/>
        <v>25406.504065040648</v>
      </c>
      <c r="BT419" s="37">
        <f t="shared" si="108"/>
        <v>18.042195912175806</v>
      </c>
      <c r="BU419" s="53">
        <v>99999999</v>
      </c>
      <c r="BV419" s="38">
        <v>99999999</v>
      </c>
      <c r="BW419" s="38">
        <v>99999999</v>
      </c>
      <c r="BX419" s="38">
        <v>99999999</v>
      </c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27">
        <v>0</v>
      </c>
      <c r="CM419" s="9" t="s">
        <v>493</v>
      </c>
    </row>
    <row r="420" spans="1:91" ht="15.6" x14ac:dyDescent="0.3">
      <c r="A420" s="5" t="s">
        <v>499</v>
      </c>
      <c r="B420" s="16" t="s">
        <v>109</v>
      </c>
      <c r="C420" s="5">
        <v>25000</v>
      </c>
      <c r="D420" s="5">
        <v>25000</v>
      </c>
      <c r="E420" s="29">
        <f>D420*[1]Rentabiliteit!$V$74</f>
        <v>25000</v>
      </c>
      <c r="F420" s="5">
        <v>25000</v>
      </c>
      <c r="G420" s="5">
        <v>98.7</v>
      </c>
      <c r="H420" s="5">
        <v>98.4</v>
      </c>
      <c r="I420" s="14"/>
      <c r="J420" s="5">
        <v>3</v>
      </c>
      <c r="K420" s="5" t="s">
        <v>113</v>
      </c>
      <c r="L420" s="5">
        <v>2</v>
      </c>
      <c r="M420" s="5">
        <v>2</v>
      </c>
      <c r="N420" s="5">
        <v>2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29">
        <v>180</v>
      </c>
      <c r="AC420" s="29">
        <v>200</v>
      </c>
      <c r="AD420" s="55">
        <v>980</v>
      </c>
      <c r="AE420" s="29">
        <v>1100</v>
      </c>
      <c r="AF420" s="5">
        <f t="shared" si="105"/>
        <v>0</v>
      </c>
      <c r="AG420" s="5">
        <v>30</v>
      </c>
      <c r="AH420" s="5">
        <v>30</v>
      </c>
      <c r="AI420" s="5">
        <v>30</v>
      </c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>
        <f t="shared" si="106"/>
        <v>0</v>
      </c>
      <c r="AX420" s="5">
        <v>37.5</v>
      </c>
      <c r="AY420" s="5">
        <v>37.5</v>
      </c>
      <c r="AZ420" s="5">
        <v>37.5</v>
      </c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32" t="s">
        <v>96</v>
      </c>
      <c r="BO420" s="5">
        <v>40</v>
      </c>
      <c r="BP420" s="5" t="s">
        <v>171</v>
      </c>
      <c r="BQ420" s="8">
        <v>44830</v>
      </c>
      <c r="BR420" s="5"/>
      <c r="BS420" s="34">
        <f t="shared" si="107"/>
        <v>25329.280648429583</v>
      </c>
      <c r="BT420" s="37">
        <f t="shared" si="108"/>
        <v>18.042195912175806</v>
      </c>
      <c r="BU420" s="53">
        <v>99999999</v>
      </c>
      <c r="BV420" s="38">
        <v>99999999</v>
      </c>
      <c r="BW420" s="38">
        <v>99999999</v>
      </c>
      <c r="BX420" s="38">
        <v>99999999</v>
      </c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27">
        <v>0</v>
      </c>
      <c r="CM420" s="9" t="s">
        <v>493</v>
      </c>
    </row>
    <row r="421" spans="1:91" ht="15.6" x14ac:dyDescent="0.3">
      <c r="A421" s="5" t="s">
        <v>500</v>
      </c>
      <c r="B421" s="16" t="s">
        <v>109</v>
      </c>
      <c r="C421" s="5">
        <v>30000</v>
      </c>
      <c r="D421" s="5">
        <v>30000</v>
      </c>
      <c r="E421" s="29">
        <f>D421*[1]Rentabiliteit!$V$74</f>
        <v>30000</v>
      </c>
      <c r="F421" s="5">
        <v>30000</v>
      </c>
      <c r="G421" s="5">
        <v>98.8</v>
      </c>
      <c r="H421" s="5">
        <v>98.5</v>
      </c>
      <c r="I421" s="14"/>
      <c r="J421" s="5">
        <v>3</v>
      </c>
      <c r="K421" s="5" t="s">
        <v>113</v>
      </c>
      <c r="L421" s="5">
        <v>2</v>
      </c>
      <c r="M421" s="5">
        <v>2</v>
      </c>
      <c r="N421" s="5">
        <v>2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29">
        <v>180</v>
      </c>
      <c r="AC421" s="29">
        <v>200</v>
      </c>
      <c r="AD421" s="55">
        <v>980</v>
      </c>
      <c r="AE421" s="29">
        <v>1100</v>
      </c>
      <c r="AF421" s="5">
        <f t="shared" si="105"/>
        <v>0</v>
      </c>
      <c r="AG421" s="5">
        <v>30</v>
      </c>
      <c r="AH421" s="5">
        <v>30</v>
      </c>
      <c r="AI421" s="5">
        <v>30</v>
      </c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>
        <f t="shared" si="106"/>
        <v>0</v>
      </c>
      <c r="AX421" s="5">
        <v>37.5</v>
      </c>
      <c r="AY421" s="5">
        <v>37.5</v>
      </c>
      <c r="AZ421" s="5">
        <v>37.5</v>
      </c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32" t="s">
        <v>96</v>
      </c>
      <c r="BO421" s="5">
        <v>48</v>
      </c>
      <c r="BP421" s="5" t="s">
        <v>171</v>
      </c>
      <c r="BQ421" s="8">
        <v>44830</v>
      </c>
      <c r="BR421" s="5"/>
      <c r="BS421" s="34">
        <f t="shared" si="107"/>
        <v>30364.372469635629</v>
      </c>
      <c r="BT421" s="37">
        <f t="shared" si="108"/>
        <v>21.650635094610969</v>
      </c>
      <c r="BU421" s="53">
        <v>99999999</v>
      </c>
      <c r="BV421" s="38">
        <v>99999999</v>
      </c>
      <c r="BW421" s="38">
        <v>99999999</v>
      </c>
      <c r="BX421" s="38">
        <v>99999999</v>
      </c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27">
        <v>0</v>
      </c>
      <c r="CM421" s="9" t="s">
        <v>493</v>
      </c>
    </row>
    <row r="422" spans="1:91" ht="15.6" x14ac:dyDescent="0.3">
      <c r="A422" s="5" t="s">
        <v>501</v>
      </c>
      <c r="B422" s="16" t="s">
        <v>109</v>
      </c>
      <c r="C422" s="5">
        <v>36000</v>
      </c>
      <c r="D422" s="5">
        <v>36000</v>
      </c>
      <c r="E422" s="29">
        <f>D422*[1]Rentabiliteit!$V$74</f>
        <v>36000</v>
      </c>
      <c r="F422" s="5">
        <v>36000</v>
      </c>
      <c r="G422" s="5">
        <v>98.8</v>
      </c>
      <c r="H422" s="5">
        <v>98.5</v>
      </c>
      <c r="I422" s="14"/>
      <c r="J422" s="5">
        <v>3</v>
      </c>
      <c r="K422" s="5" t="s">
        <v>113</v>
      </c>
      <c r="L422" s="5">
        <v>2</v>
      </c>
      <c r="M422" s="5">
        <v>2</v>
      </c>
      <c r="N422" s="5">
        <v>2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29">
        <v>180</v>
      </c>
      <c r="AC422" s="29">
        <v>200</v>
      </c>
      <c r="AD422" s="55">
        <v>980</v>
      </c>
      <c r="AE422" s="29">
        <v>1100</v>
      </c>
      <c r="AF422" s="5">
        <f t="shared" si="105"/>
        <v>0</v>
      </c>
      <c r="AG422" s="5">
        <v>30</v>
      </c>
      <c r="AH422" s="5">
        <v>30</v>
      </c>
      <c r="AI422" s="5">
        <v>30</v>
      </c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>
        <f t="shared" si="106"/>
        <v>0</v>
      </c>
      <c r="AX422" s="5">
        <v>37.5</v>
      </c>
      <c r="AY422" s="5">
        <v>37.5</v>
      </c>
      <c r="AZ422" s="5">
        <v>37.5</v>
      </c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32" t="s">
        <v>96</v>
      </c>
      <c r="BO422" s="5">
        <v>53.3</v>
      </c>
      <c r="BP422" s="5" t="s">
        <v>171</v>
      </c>
      <c r="BQ422" s="8">
        <v>44830</v>
      </c>
      <c r="BR422" s="5"/>
      <c r="BS422" s="34">
        <f t="shared" si="107"/>
        <v>36437.246963562757</v>
      </c>
      <c r="BT422" s="37">
        <f t="shared" si="108"/>
        <v>25.98076211353316</v>
      </c>
      <c r="BU422" s="53">
        <v>99999999</v>
      </c>
      <c r="BV422" s="38">
        <v>99999999</v>
      </c>
      <c r="BW422" s="38">
        <v>99999999</v>
      </c>
      <c r="BX422" s="38">
        <v>99999999</v>
      </c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27">
        <v>0</v>
      </c>
      <c r="CM422" s="9" t="s">
        <v>493</v>
      </c>
    </row>
    <row r="423" spans="1:91" ht="15.6" x14ac:dyDescent="0.3">
      <c r="A423" s="29" t="s">
        <v>502</v>
      </c>
      <c r="B423" s="16" t="s">
        <v>109</v>
      </c>
      <c r="C423" s="29">
        <v>50000</v>
      </c>
      <c r="D423" s="29">
        <v>50000</v>
      </c>
      <c r="E423" s="29">
        <f>D423*[1]Rentabiliteit!$V$74</f>
        <v>50000</v>
      </c>
      <c r="F423" s="29">
        <v>50000</v>
      </c>
      <c r="G423" s="29">
        <v>98.8</v>
      </c>
      <c r="H423" s="29">
        <v>98.3</v>
      </c>
      <c r="I423" s="14"/>
      <c r="J423" s="29">
        <v>4</v>
      </c>
      <c r="K423" s="5" t="s">
        <v>113</v>
      </c>
      <c r="L423" s="29">
        <v>2</v>
      </c>
      <c r="M423" s="29">
        <v>2</v>
      </c>
      <c r="N423" s="29">
        <v>2</v>
      </c>
      <c r="O423" s="29">
        <v>2</v>
      </c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>
        <v>200</v>
      </c>
      <c r="AC423" s="29">
        <v>200</v>
      </c>
      <c r="AD423" s="55">
        <v>1000</v>
      </c>
      <c r="AE423" s="29">
        <v>1100</v>
      </c>
      <c r="AF423" s="5">
        <f t="shared" si="105"/>
        <v>0</v>
      </c>
      <c r="AG423" s="5">
        <v>30</v>
      </c>
      <c r="AH423" s="5">
        <v>30</v>
      </c>
      <c r="AI423" s="5">
        <v>30</v>
      </c>
      <c r="AJ423" s="5">
        <v>30</v>
      </c>
      <c r="AK423" s="5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5">
        <f t="shared" si="106"/>
        <v>0</v>
      </c>
      <c r="AX423" s="5">
        <v>37.5</v>
      </c>
      <c r="AY423" s="5">
        <v>37.5</v>
      </c>
      <c r="AZ423" s="5">
        <v>37.5</v>
      </c>
      <c r="BA423" s="5">
        <v>37.5</v>
      </c>
      <c r="BB423" s="5"/>
      <c r="BC423" s="29"/>
      <c r="BD423" s="29"/>
      <c r="BE423" s="29"/>
      <c r="BF423" s="29"/>
      <c r="BG423" s="29"/>
      <c r="BH423" s="29"/>
      <c r="BI423" s="29"/>
      <c r="BJ423" s="19"/>
      <c r="BK423" s="29"/>
      <c r="BL423" s="29"/>
      <c r="BM423" s="29"/>
      <c r="BN423" s="32" t="s">
        <v>96</v>
      </c>
      <c r="BO423" s="29">
        <v>80</v>
      </c>
      <c r="BP423" s="5" t="s">
        <v>171</v>
      </c>
      <c r="BQ423" s="8">
        <v>44830</v>
      </c>
      <c r="BR423" s="29"/>
      <c r="BS423" s="34">
        <f t="shared" si="107"/>
        <v>50607.287449392716</v>
      </c>
      <c r="BT423" s="37">
        <f t="shared" si="108"/>
        <v>36.084391824351613</v>
      </c>
      <c r="BU423" s="53">
        <v>99999999</v>
      </c>
      <c r="BV423" s="38">
        <v>99999999</v>
      </c>
      <c r="BW423" s="38">
        <v>99999999</v>
      </c>
      <c r="BX423" s="38">
        <v>99999999</v>
      </c>
      <c r="BY423" s="29"/>
      <c r="BZ423" s="29"/>
      <c r="CA423" s="29"/>
      <c r="CB423" s="29"/>
      <c r="CC423" s="29"/>
      <c r="CD423" s="29"/>
      <c r="CE423" s="29"/>
      <c r="CF423" s="29"/>
      <c r="CG423" s="29"/>
      <c r="CH423" s="29"/>
      <c r="CI423" s="29"/>
      <c r="CJ423" s="29"/>
      <c r="CK423" s="29"/>
      <c r="CL423" s="27">
        <v>0</v>
      </c>
      <c r="CM423" s="9" t="s">
        <v>493</v>
      </c>
    </row>
    <row r="424" spans="1:91" ht="15.6" x14ac:dyDescent="0.3">
      <c r="A424" s="29" t="s">
        <v>503</v>
      </c>
      <c r="B424" s="16" t="s">
        <v>109</v>
      </c>
      <c r="C424" s="29">
        <v>60000</v>
      </c>
      <c r="D424" s="29">
        <v>60000</v>
      </c>
      <c r="E424" s="29">
        <f>D424*[1]Rentabiliteit!$V$74</f>
        <v>60000</v>
      </c>
      <c r="F424" s="29">
        <v>60000</v>
      </c>
      <c r="G424" s="29">
        <v>98.8</v>
      </c>
      <c r="H424" s="29">
        <v>98.3</v>
      </c>
      <c r="I424" s="14"/>
      <c r="J424" s="29">
        <v>4</v>
      </c>
      <c r="K424" s="5" t="s">
        <v>113</v>
      </c>
      <c r="L424" s="29">
        <v>3</v>
      </c>
      <c r="M424" s="29">
        <v>3</v>
      </c>
      <c r="N424" s="29">
        <v>3</v>
      </c>
      <c r="O424" s="29">
        <v>3</v>
      </c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>
        <v>200</v>
      </c>
      <c r="AC424" s="29">
        <v>200</v>
      </c>
      <c r="AD424" s="55">
        <v>1000</v>
      </c>
      <c r="AE424" s="29">
        <v>1100</v>
      </c>
      <c r="AF424" s="5">
        <f t="shared" si="105"/>
        <v>0</v>
      </c>
      <c r="AG424" s="5">
        <v>44</v>
      </c>
      <c r="AH424" s="5">
        <v>44</v>
      </c>
      <c r="AI424" s="5">
        <v>44</v>
      </c>
      <c r="AJ424" s="5">
        <v>44</v>
      </c>
      <c r="AK424" s="5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5">
        <f t="shared" si="106"/>
        <v>0</v>
      </c>
      <c r="AX424" s="5">
        <v>55</v>
      </c>
      <c r="AY424" s="5">
        <v>55</v>
      </c>
      <c r="AZ424" s="5">
        <v>55</v>
      </c>
      <c r="BA424" s="5">
        <v>55</v>
      </c>
      <c r="BB424" s="5"/>
      <c r="BC424" s="29"/>
      <c r="BD424" s="29"/>
      <c r="BE424" s="29"/>
      <c r="BF424" s="29"/>
      <c r="BG424" s="29"/>
      <c r="BH424" s="29"/>
      <c r="BI424" s="29"/>
      <c r="BJ424" s="19"/>
      <c r="BK424" s="29"/>
      <c r="BL424" s="29"/>
      <c r="BM424" s="29"/>
      <c r="BN424" s="32" t="s">
        <v>96</v>
      </c>
      <c r="BO424" s="29">
        <v>96</v>
      </c>
      <c r="BP424" s="5" t="s">
        <v>171</v>
      </c>
      <c r="BQ424" s="8">
        <v>44830</v>
      </c>
      <c r="BR424" s="29"/>
      <c r="BS424" s="34">
        <f t="shared" si="107"/>
        <v>60728.744939271259</v>
      </c>
      <c r="BT424" s="37">
        <f t="shared" si="108"/>
        <v>43.301270189221938</v>
      </c>
      <c r="BU424" s="53">
        <v>99999999</v>
      </c>
      <c r="BV424" s="38">
        <v>99999999</v>
      </c>
      <c r="BW424" s="38">
        <v>99999999</v>
      </c>
      <c r="BX424" s="38">
        <v>99999999</v>
      </c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/>
      <c r="CK424" s="29"/>
      <c r="CL424" s="27">
        <v>0</v>
      </c>
      <c r="CM424" s="9" t="s">
        <v>493</v>
      </c>
    </row>
    <row r="425" spans="1:91" ht="15.6" x14ac:dyDescent="0.3">
      <c r="A425" s="29" t="s">
        <v>504</v>
      </c>
      <c r="B425" s="16" t="s">
        <v>109</v>
      </c>
      <c r="C425" s="29">
        <v>75000</v>
      </c>
      <c r="D425" s="29">
        <v>75000</v>
      </c>
      <c r="E425" s="29">
        <f>D425*[1]Rentabiliteit!$V$74</f>
        <v>75000</v>
      </c>
      <c r="F425" s="29">
        <v>75000</v>
      </c>
      <c r="G425" s="29">
        <v>98.6</v>
      </c>
      <c r="H425" s="29">
        <v>98.3</v>
      </c>
      <c r="I425" s="14"/>
      <c r="J425" s="29">
        <v>10</v>
      </c>
      <c r="K425" s="5" t="s">
        <v>113</v>
      </c>
      <c r="L425" s="29">
        <v>2</v>
      </c>
      <c r="M425" s="29">
        <v>2</v>
      </c>
      <c r="N425" s="29">
        <v>2</v>
      </c>
      <c r="O425" s="29">
        <v>2</v>
      </c>
      <c r="P425" s="29">
        <v>2</v>
      </c>
      <c r="Q425" s="29">
        <v>2</v>
      </c>
      <c r="R425" s="29">
        <v>2</v>
      </c>
      <c r="S425" s="29">
        <v>2</v>
      </c>
      <c r="T425" s="29">
        <v>2</v>
      </c>
      <c r="U425" s="29">
        <v>2</v>
      </c>
      <c r="V425" s="29"/>
      <c r="W425" s="29"/>
      <c r="X425" s="29"/>
      <c r="Y425" s="29"/>
      <c r="Z425" s="29"/>
      <c r="AA425" s="29"/>
      <c r="AB425" s="29">
        <v>200</v>
      </c>
      <c r="AC425" s="29">
        <v>180</v>
      </c>
      <c r="AD425" s="55">
        <v>1000</v>
      </c>
      <c r="AE425" s="29">
        <v>1100</v>
      </c>
      <c r="AF425" s="5">
        <f t="shared" si="105"/>
        <v>0</v>
      </c>
      <c r="AG425" s="5">
        <v>30</v>
      </c>
      <c r="AH425" s="5">
        <v>30</v>
      </c>
      <c r="AI425" s="5">
        <v>30</v>
      </c>
      <c r="AJ425" s="5">
        <v>30</v>
      </c>
      <c r="AK425" s="5">
        <v>30</v>
      </c>
      <c r="AL425" s="5">
        <v>30</v>
      </c>
      <c r="AM425" s="5">
        <v>30</v>
      </c>
      <c r="AN425" s="5">
        <v>30</v>
      </c>
      <c r="AO425" s="5">
        <v>30</v>
      </c>
      <c r="AP425" s="5">
        <v>30</v>
      </c>
      <c r="AQ425" s="29"/>
      <c r="AR425" s="29"/>
      <c r="AS425" s="29"/>
      <c r="AT425" s="29"/>
      <c r="AU425" s="29"/>
      <c r="AV425" s="29"/>
      <c r="AW425" s="5">
        <f t="shared" si="106"/>
        <v>0</v>
      </c>
      <c r="AX425" s="5">
        <v>45</v>
      </c>
      <c r="AY425" s="5">
        <v>45</v>
      </c>
      <c r="AZ425" s="5">
        <v>45</v>
      </c>
      <c r="BA425" s="5">
        <v>45</v>
      </c>
      <c r="BB425" s="5">
        <v>45</v>
      </c>
      <c r="BC425" s="5">
        <v>45</v>
      </c>
      <c r="BD425" s="5">
        <v>45</v>
      </c>
      <c r="BE425" s="5">
        <v>45</v>
      </c>
      <c r="BF425" s="5">
        <v>45</v>
      </c>
      <c r="BG425" s="5">
        <v>45</v>
      </c>
      <c r="BH425" s="29"/>
      <c r="BI425" s="29"/>
      <c r="BJ425" s="29"/>
      <c r="BK425" s="29"/>
      <c r="BL425" s="29"/>
      <c r="BM425" s="29"/>
      <c r="BN425" s="32" t="s">
        <v>96</v>
      </c>
      <c r="BO425" s="29">
        <v>125.3</v>
      </c>
      <c r="BP425" s="5" t="s">
        <v>171</v>
      </c>
      <c r="BQ425" s="8">
        <v>44830</v>
      </c>
      <c r="BR425" s="29"/>
      <c r="BS425" s="34">
        <f t="shared" si="107"/>
        <v>76064.90872210954</v>
      </c>
      <c r="BT425" s="37">
        <f t="shared" si="108"/>
        <v>54.126587736527419</v>
      </c>
      <c r="BU425" s="53">
        <v>99999999</v>
      </c>
      <c r="BV425" s="38">
        <v>99999999</v>
      </c>
      <c r="BW425" s="38">
        <v>99999999</v>
      </c>
      <c r="BX425" s="38">
        <v>99999999</v>
      </c>
      <c r="BY425" s="38">
        <v>99999999</v>
      </c>
      <c r="BZ425" s="38">
        <v>99999999</v>
      </c>
      <c r="CA425" s="38">
        <v>99999999</v>
      </c>
      <c r="CB425" s="38">
        <v>99999999</v>
      </c>
      <c r="CC425" s="38">
        <v>99999999</v>
      </c>
      <c r="CD425" s="38">
        <v>99999999</v>
      </c>
      <c r="CE425" s="38">
        <v>99999999</v>
      </c>
      <c r="CF425" s="29"/>
      <c r="CG425" s="29"/>
      <c r="CH425" s="29"/>
      <c r="CI425" s="29"/>
      <c r="CJ425" s="29"/>
      <c r="CK425" s="29"/>
      <c r="CL425" s="27">
        <v>0</v>
      </c>
      <c r="CM425" s="9" t="s">
        <v>493</v>
      </c>
    </row>
    <row r="426" spans="1:91" ht="15.6" x14ac:dyDescent="0.3">
      <c r="A426" s="29" t="s">
        <v>505</v>
      </c>
      <c r="B426" s="16" t="s">
        <v>109</v>
      </c>
      <c r="C426" s="29">
        <v>88000</v>
      </c>
      <c r="D426" s="29">
        <v>88000</v>
      </c>
      <c r="E426" s="29">
        <f>D426*[1]Rentabiliteit!$V$74</f>
        <v>88000</v>
      </c>
      <c r="F426" s="29">
        <v>88000</v>
      </c>
      <c r="G426" s="29">
        <v>98.6</v>
      </c>
      <c r="H426" s="29">
        <v>98.3</v>
      </c>
      <c r="I426" s="14"/>
      <c r="J426" s="29">
        <v>10</v>
      </c>
      <c r="K426" s="5" t="s">
        <v>113</v>
      </c>
      <c r="L426" s="29">
        <v>2</v>
      </c>
      <c r="M426" s="29">
        <v>2</v>
      </c>
      <c r="N426" s="29">
        <v>2</v>
      </c>
      <c r="O426" s="29">
        <v>2</v>
      </c>
      <c r="P426" s="29">
        <v>2</v>
      </c>
      <c r="Q426" s="29">
        <v>2</v>
      </c>
      <c r="R426" s="29">
        <v>2</v>
      </c>
      <c r="S426" s="29">
        <v>2</v>
      </c>
      <c r="T426" s="29">
        <v>2</v>
      </c>
      <c r="U426" s="29">
        <v>2</v>
      </c>
      <c r="V426" s="29"/>
      <c r="W426" s="29"/>
      <c r="X426" s="29"/>
      <c r="Y426" s="29"/>
      <c r="Z426" s="29"/>
      <c r="AA426" s="29"/>
      <c r="AB426" s="29">
        <v>200</v>
      </c>
      <c r="AC426" s="29">
        <v>180</v>
      </c>
      <c r="AD426" s="55">
        <v>1000</v>
      </c>
      <c r="AE426" s="29">
        <v>1100</v>
      </c>
      <c r="AF426" s="5">
        <f t="shared" si="105"/>
        <v>0</v>
      </c>
      <c r="AG426" s="5">
        <v>30</v>
      </c>
      <c r="AH426" s="5">
        <v>30</v>
      </c>
      <c r="AI426" s="5">
        <v>30</v>
      </c>
      <c r="AJ426" s="5">
        <v>30</v>
      </c>
      <c r="AK426" s="5">
        <v>30</v>
      </c>
      <c r="AL426" s="5">
        <v>30</v>
      </c>
      <c r="AM426" s="5">
        <v>30</v>
      </c>
      <c r="AN426" s="5">
        <v>30</v>
      </c>
      <c r="AO426" s="5">
        <v>30</v>
      </c>
      <c r="AP426" s="5">
        <v>30</v>
      </c>
      <c r="AQ426" s="29"/>
      <c r="AR426" s="29"/>
      <c r="AS426" s="29"/>
      <c r="AT426" s="29"/>
      <c r="AU426" s="29"/>
      <c r="AV426" s="29"/>
      <c r="AW426" s="5">
        <f t="shared" si="106"/>
        <v>0</v>
      </c>
      <c r="AX426" s="5">
        <v>45</v>
      </c>
      <c r="AY426" s="5">
        <v>45</v>
      </c>
      <c r="AZ426" s="5">
        <v>45</v>
      </c>
      <c r="BA426" s="5">
        <v>45</v>
      </c>
      <c r="BB426" s="5">
        <v>45</v>
      </c>
      <c r="BC426" s="5">
        <v>45</v>
      </c>
      <c r="BD426" s="5">
        <v>45</v>
      </c>
      <c r="BE426" s="5">
        <v>45</v>
      </c>
      <c r="BF426" s="5">
        <v>45</v>
      </c>
      <c r="BG426" s="5">
        <v>45</v>
      </c>
      <c r="BH426" s="29"/>
      <c r="BI426" s="29"/>
      <c r="BJ426" s="29"/>
      <c r="BK426" s="29"/>
      <c r="BL426" s="29"/>
      <c r="BM426" s="29"/>
      <c r="BN426" s="32" t="s">
        <v>96</v>
      </c>
      <c r="BO426" s="29">
        <v>134</v>
      </c>
      <c r="BP426" s="5" t="s">
        <v>171</v>
      </c>
      <c r="BQ426" s="8">
        <v>44830</v>
      </c>
      <c r="BR426" s="29"/>
      <c r="BS426" s="34">
        <f t="shared" si="107"/>
        <v>89249.492900608515</v>
      </c>
      <c r="BT426" s="37">
        <f t="shared" si="108"/>
        <v>63.508529610858837</v>
      </c>
      <c r="BU426" s="53">
        <v>99999999</v>
      </c>
      <c r="BV426" s="38">
        <v>99999999</v>
      </c>
      <c r="BW426" s="38">
        <v>99999999</v>
      </c>
      <c r="BX426" s="38">
        <v>99999999</v>
      </c>
      <c r="BY426" s="38">
        <v>99999999</v>
      </c>
      <c r="BZ426" s="38">
        <v>99999999</v>
      </c>
      <c r="CA426" s="38">
        <v>99999999</v>
      </c>
      <c r="CB426" s="38">
        <v>99999999</v>
      </c>
      <c r="CC426" s="38">
        <v>99999999</v>
      </c>
      <c r="CD426" s="38">
        <v>99999999</v>
      </c>
      <c r="CE426" s="38">
        <v>99999999</v>
      </c>
      <c r="CF426" s="29"/>
      <c r="CG426" s="29"/>
      <c r="CH426" s="29"/>
      <c r="CI426" s="29"/>
      <c r="CJ426" s="29"/>
      <c r="CK426" s="29"/>
      <c r="CL426" s="27">
        <v>0</v>
      </c>
      <c r="CM426" s="9" t="s">
        <v>493</v>
      </c>
    </row>
    <row r="427" spans="1:91" ht="15.6" x14ac:dyDescent="0.3">
      <c r="A427" s="29" t="s">
        <v>506</v>
      </c>
      <c r="B427" s="16" t="s">
        <v>109</v>
      </c>
      <c r="C427" s="29">
        <v>100000</v>
      </c>
      <c r="D427" s="29">
        <v>110000</v>
      </c>
      <c r="E427" s="29">
        <f>D427*[1]Rentabiliteit!$V$74</f>
        <v>110000</v>
      </c>
      <c r="F427" s="29">
        <v>110000</v>
      </c>
      <c r="G427" s="29">
        <v>98.6</v>
      </c>
      <c r="H427" s="29">
        <v>98.3</v>
      </c>
      <c r="I427" s="14"/>
      <c r="J427" s="29">
        <v>10</v>
      </c>
      <c r="K427" s="5" t="s">
        <v>113</v>
      </c>
      <c r="L427" s="29">
        <v>2</v>
      </c>
      <c r="M427" s="29">
        <v>2</v>
      </c>
      <c r="N427" s="29">
        <v>2</v>
      </c>
      <c r="O427" s="29">
        <v>2</v>
      </c>
      <c r="P427" s="29">
        <v>2</v>
      </c>
      <c r="Q427" s="29">
        <v>2</v>
      </c>
      <c r="R427" s="29">
        <v>2</v>
      </c>
      <c r="S427" s="29">
        <v>2</v>
      </c>
      <c r="T427" s="29">
        <v>2</v>
      </c>
      <c r="U427" s="29">
        <v>2</v>
      </c>
      <c r="V427" s="29"/>
      <c r="W427" s="29"/>
      <c r="X427" s="29"/>
      <c r="Y427" s="29"/>
      <c r="Z427" s="29"/>
      <c r="AA427" s="29"/>
      <c r="AB427" s="29">
        <v>200</v>
      </c>
      <c r="AC427" s="29">
        <v>180</v>
      </c>
      <c r="AD427" s="55">
        <v>1000</v>
      </c>
      <c r="AE427" s="29">
        <v>1100</v>
      </c>
      <c r="AF427" s="5">
        <f t="shared" si="105"/>
        <v>0</v>
      </c>
      <c r="AG427" s="5">
        <v>30</v>
      </c>
      <c r="AH427" s="5">
        <v>30</v>
      </c>
      <c r="AI427" s="5">
        <v>30</v>
      </c>
      <c r="AJ427" s="5">
        <v>30</v>
      </c>
      <c r="AK427" s="5">
        <v>30</v>
      </c>
      <c r="AL427" s="5">
        <v>30</v>
      </c>
      <c r="AM427" s="5">
        <v>30</v>
      </c>
      <c r="AN427" s="5">
        <v>30</v>
      </c>
      <c r="AO427" s="5">
        <v>30</v>
      </c>
      <c r="AP427" s="5">
        <v>30</v>
      </c>
      <c r="AQ427" s="29"/>
      <c r="AR427" s="29"/>
      <c r="AS427" s="29"/>
      <c r="AT427" s="29"/>
      <c r="AU427" s="29"/>
      <c r="AV427" s="29"/>
      <c r="AW427" s="5">
        <f t="shared" si="106"/>
        <v>0</v>
      </c>
      <c r="AX427" s="5">
        <v>45</v>
      </c>
      <c r="AY427" s="5">
        <v>45</v>
      </c>
      <c r="AZ427" s="5">
        <v>45</v>
      </c>
      <c r="BA427" s="5">
        <v>45</v>
      </c>
      <c r="BB427" s="5">
        <v>45</v>
      </c>
      <c r="BC427" s="5">
        <v>45</v>
      </c>
      <c r="BD427" s="5">
        <v>45</v>
      </c>
      <c r="BE427" s="5">
        <v>45</v>
      </c>
      <c r="BF427" s="5">
        <v>45</v>
      </c>
      <c r="BG427" s="5">
        <v>45</v>
      </c>
      <c r="BH427" s="29"/>
      <c r="BI427" s="29"/>
      <c r="BJ427" s="29"/>
      <c r="BK427" s="29"/>
      <c r="BL427" s="29"/>
      <c r="BM427" s="29"/>
      <c r="BN427" s="32" t="s">
        <v>96</v>
      </c>
      <c r="BO427" s="29">
        <v>167</v>
      </c>
      <c r="BP427" s="5" t="s">
        <v>171</v>
      </c>
      <c r="BQ427" s="8">
        <v>44830</v>
      </c>
      <c r="BR427" s="29"/>
      <c r="BS427" s="34">
        <f t="shared" si="107"/>
        <v>111561.86612576064</v>
      </c>
      <c r="BT427" s="37">
        <f t="shared" si="108"/>
        <v>79.385662013573551</v>
      </c>
      <c r="BU427" s="53">
        <v>99999999</v>
      </c>
      <c r="BV427" s="38">
        <v>99999999</v>
      </c>
      <c r="BW427" s="38">
        <v>99999999</v>
      </c>
      <c r="BX427" s="38">
        <v>99999999</v>
      </c>
      <c r="BY427" s="38">
        <v>99999999</v>
      </c>
      <c r="BZ427" s="38">
        <v>99999999</v>
      </c>
      <c r="CA427" s="38">
        <v>99999999</v>
      </c>
      <c r="CB427" s="38">
        <v>99999999</v>
      </c>
      <c r="CC427" s="38">
        <v>99999999</v>
      </c>
      <c r="CD427" s="38">
        <v>99999999</v>
      </c>
      <c r="CE427" s="38">
        <v>99999999</v>
      </c>
      <c r="CF427" s="29"/>
      <c r="CG427" s="29"/>
      <c r="CH427" s="29"/>
      <c r="CI427" s="29"/>
      <c r="CJ427" s="29"/>
      <c r="CK427" s="29"/>
      <c r="CL427" s="27">
        <v>0</v>
      </c>
      <c r="CM427" s="9" t="s">
        <v>493</v>
      </c>
    </row>
    <row r="428" spans="1:91" ht="15.6" x14ac:dyDescent="0.3">
      <c r="A428" s="29" t="s">
        <v>507</v>
      </c>
      <c r="B428" s="16" t="s">
        <v>109</v>
      </c>
      <c r="C428" s="29">
        <v>110000</v>
      </c>
      <c r="D428" s="29">
        <v>121000</v>
      </c>
      <c r="E428" s="29">
        <f>D428*[1]Rentabiliteit!$V$74</f>
        <v>121000</v>
      </c>
      <c r="F428" s="29">
        <v>121000</v>
      </c>
      <c r="G428" s="29">
        <v>98.6</v>
      </c>
      <c r="H428" s="29">
        <v>98.3</v>
      </c>
      <c r="I428" s="14"/>
      <c r="J428" s="29">
        <v>12</v>
      </c>
      <c r="K428" s="5" t="s">
        <v>113</v>
      </c>
      <c r="L428" s="29">
        <v>2</v>
      </c>
      <c r="M428" s="29">
        <v>2</v>
      </c>
      <c r="N428" s="29">
        <v>2</v>
      </c>
      <c r="O428" s="29">
        <v>2</v>
      </c>
      <c r="P428" s="29">
        <v>2</v>
      </c>
      <c r="Q428" s="29">
        <v>2</v>
      </c>
      <c r="R428" s="29">
        <v>2</v>
      </c>
      <c r="S428" s="29">
        <v>2</v>
      </c>
      <c r="T428" s="29">
        <v>2</v>
      </c>
      <c r="U428" s="29">
        <v>2</v>
      </c>
      <c r="V428" s="29">
        <v>2</v>
      </c>
      <c r="W428" s="29">
        <v>2</v>
      </c>
      <c r="X428" s="29"/>
      <c r="Y428" s="29"/>
      <c r="Z428" s="29"/>
      <c r="AA428" s="29"/>
      <c r="AB428" s="29">
        <v>200</v>
      </c>
      <c r="AC428" s="29">
        <v>180</v>
      </c>
      <c r="AD428" s="55">
        <v>1000</v>
      </c>
      <c r="AE428" s="29">
        <v>1100</v>
      </c>
      <c r="AF428" s="5">
        <f t="shared" si="105"/>
        <v>0</v>
      </c>
      <c r="AG428" s="5">
        <v>30</v>
      </c>
      <c r="AH428" s="5">
        <v>30</v>
      </c>
      <c r="AI428" s="5">
        <v>30</v>
      </c>
      <c r="AJ428" s="5">
        <v>30</v>
      </c>
      <c r="AK428" s="5">
        <v>30</v>
      </c>
      <c r="AL428" s="5">
        <v>30</v>
      </c>
      <c r="AM428" s="5">
        <v>30</v>
      </c>
      <c r="AN428" s="5">
        <v>30</v>
      </c>
      <c r="AO428" s="5">
        <v>30</v>
      </c>
      <c r="AP428" s="5">
        <v>30</v>
      </c>
      <c r="AQ428" s="5">
        <v>30</v>
      </c>
      <c r="AR428" s="5">
        <v>30</v>
      </c>
      <c r="AS428" s="29"/>
      <c r="AT428" s="29"/>
      <c r="AU428" s="29"/>
      <c r="AV428" s="29"/>
      <c r="AW428" s="5">
        <f t="shared" si="106"/>
        <v>0</v>
      </c>
      <c r="AX428" s="5">
        <v>45</v>
      </c>
      <c r="AY428" s="5">
        <v>45</v>
      </c>
      <c r="AZ428" s="5">
        <v>45</v>
      </c>
      <c r="BA428" s="5">
        <v>45</v>
      </c>
      <c r="BB428" s="5">
        <v>45</v>
      </c>
      <c r="BC428" s="5">
        <v>45</v>
      </c>
      <c r="BD428" s="5">
        <v>45</v>
      </c>
      <c r="BE428" s="5">
        <v>45</v>
      </c>
      <c r="BF428" s="5">
        <v>45</v>
      </c>
      <c r="BG428" s="5">
        <v>45</v>
      </c>
      <c r="BH428" s="5">
        <v>45</v>
      </c>
      <c r="BI428" s="5">
        <v>45</v>
      </c>
      <c r="BJ428" s="29"/>
      <c r="BK428" s="29"/>
      <c r="BL428" s="29"/>
      <c r="BM428" s="29"/>
      <c r="BN428" s="32" t="s">
        <v>96</v>
      </c>
      <c r="BO428" s="29">
        <v>175.5</v>
      </c>
      <c r="BP428" s="5" t="s">
        <v>171</v>
      </c>
      <c r="BQ428" s="8">
        <v>44830</v>
      </c>
      <c r="BR428" s="29"/>
      <c r="BS428" s="34">
        <f t="shared" si="107"/>
        <v>122718.05273833672</v>
      </c>
      <c r="BT428" s="37">
        <f t="shared" si="108"/>
        <v>87.324228214930898</v>
      </c>
      <c r="BU428" s="53">
        <v>99999999</v>
      </c>
      <c r="BV428" s="38">
        <v>99999999</v>
      </c>
      <c r="BW428" s="38">
        <v>99999999</v>
      </c>
      <c r="BX428" s="38">
        <v>99999999</v>
      </c>
      <c r="BY428" s="38">
        <v>99999999</v>
      </c>
      <c r="BZ428" s="38">
        <v>99999999</v>
      </c>
      <c r="CA428" s="38">
        <v>99999999</v>
      </c>
      <c r="CB428" s="38">
        <v>99999999</v>
      </c>
      <c r="CC428" s="38">
        <v>99999999</v>
      </c>
      <c r="CD428" s="38">
        <v>99999999</v>
      </c>
      <c r="CE428" s="38">
        <v>99999999</v>
      </c>
      <c r="CF428" s="38">
        <v>99999999</v>
      </c>
      <c r="CG428" s="38">
        <v>99999999</v>
      </c>
      <c r="CH428" s="29"/>
      <c r="CI428" s="29"/>
      <c r="CJ428" s="29"/>
      <c r="CK428" s="29"/>
      <c r="CL428" s="27">
        <v>0</v>
      </c>
      <c r="CM428" s="9" t="s">
        <v>493</v>
      </c>
    </row>
    <row r="429" spans="1:91" ht="15.6" x14ac:dyDescent="0.3">
      <c r="A429" s="29" t="s">
        <v>508</v>
      </c>
      <c r="B429" s="16" t="s">
        <v>109</v>
      </c>
      <c r="C429" s="29">
        <v>120000</v>
      </c>
      <c r="D429" s="29">
        <v>132000</v>
      </c>
      <c r="E429" s="29">
        <f>D429*[1]Rentabiliteit!$V$74</f>
        <v>132000</v>
      </c>
      <c r="F429" s="29">
        <v>132000</v>
      </c>
      <c r="G429" s="26">
        <v>98.6</v>
      </c>
      <c r="H429" s="29">
        <v>98.3</v>
      </c>
      <c r="I429" s="14"/>
      <c r="J429" s="29">
        <v>12</v>
      </c>
      <c r="K429" s="5" t="s">
        <v>113</v>
      </c>
      <c r="L429" s="29">
        <v>2</v>
      </c>
      <c r="M429" s="29">
        <v>2</v>
      </c>
      <c r="N429" s="29">
        <v>2</v>
      </c>
      <c r="O429" s="29">
        <v>2</v>
      </c>
      <c r="P429" s="29">
        <v>2</v>
      </c>
      <c r="Q429" s="29">
        <v>2</v>
      </c>
      <c r="R429" s="29">
        <v>2</v>
      </c>
      <c r="S429" s="29">
        <v>2</v>
      </c>
      <c r="T429" s="29">
        <v>2</v>
      </c>
      <c r="U429" s="29">
        <v>2</v>
      </c>
      <c r="V429" s="29">
        <v>2</v>
      </c>
      <c r="W429" s="29">
        <v>2</v>
      </c>
      <c r="X429" s="29"/>
      <c r="Y429" s="29"/>
      <c r="Z429" s="29"/>
      <c r="AA429" s="29"/>
      <c r="AB429" s="29">
        <v>200</v>
      </c>
      <c r="AC429" s="29">
        <v>180</v>
      </c>
      <c r="AD429" s="55">
        <v>1000</v>
      </c>
      <c r="AE429" s="29">
        <v>1100</v>
      </c>
      <c r="AF429" s="5">
        <f t="shared" si="105"/>
        <v>0</v>
      </c>
      <c r="AG429" s="5">
        <v>30</v>
      </c>
      <c r="AH429" s="5">
        <v>30</v>
      </c>
      <c r="AI429" s="5">
        <v>30</v>
      </c>
      <c r="AJ429" s="5">
        <v>30</v>
      </c>
      <c r="AK429" s="5">
        <v>30</v>
      </c>
      <c r="AL429" s="5">
        <v>30</v>
      </c>
      <c r="AM429" s="5">
        <v>30</v>
      </c>
      <c r="AN429" s="5">
        <v>30</v>
      </c>
      <c r="AO429" s="5">
        <v>30</v>
      </c>
      <c r="AP429" s="5">
        <v>30</v>
      </c>
      <c r="AQ429" s="5">
        <v>30</v>
      </c>
      <c r="AR429" s="5">
        <v>30</v>
      </c>
      <c r="AS429" s="29"/>
      <c r="AT429" s="29"/>
      <c r="AU429" s="29"/>
      <c r="AV429" s="29"/>
      <c r="AW429" s="5">
        <f t="shared" si="106"/>
        <v>0</v>
      </c>
      <c r="AX429" s="5">
        <v>45</v>
      </c>
      <c r="AY429" s="5">
        <v>45</v>
      </c>
      <c r="AZ429" s="5">
        <v>45</v>
      </c>
      <c r="BA429" s="5">
        <v>45</v>
      </c>
      <c r="BB429" s="5">
        <v>45</v>
      </c>
      <c r="BC429" s="5">
        <v>45</v>
      </c>
      <c r="BD429" s="5">
        <v>45</v>
      </c>
      <c r="BE429" s="5">
        <v>45</v>
      </c>
      <c r="BF429" s="5">
        <v>45</v>
      </c>
      <c r="BG429" s="5">
        <v>45</v>
      </c>
      <c r="BH429" s="5">
        <v>45</v>
      </c>
      <c r="BI429" s="5">
        <v>45</v>
      </c>
      <c r="BJ429" s="29"/>
      <c r="BK429" s="29"/>
      <c r="BL429" s="29"/>
      <c r="BM429" s="29"/>
      <c r="BN429" s="36" t="s">
        <v>96</v>
      </c>
      <c r="BO429" s="26">
        <v>191.3</v>
      </c>
      <c r="BP429" s="5" t="s">
        <v>171</v>
      </c>
      <c r="BQ429" s="8">
        <v>44830</v>
      </c>
      <c r="BR429" s="29"/>
      <c r="BS429" s="34">
        <f t="shared" si="107"/>
        <v>133874.23935091277</v>
      </c>
      <c r="BT429" s="37">
        <f t="shared" si="108"/>
        <v>95.262794416288259</v>
      </c>
      <c r="BU429" s="53">
        <v>99999999</v>
      </c>
      <c r="BV429" s="38">
        <v>99999999</v>
      </c>
      <c r="BW429" s="38">
        <v>99999999</v>
      </c>
      <c r="BX429" s="38">
        <v>99999999</v>
      </c>
      <c r="BY429" s="38">
        <v>99999999</v>
      </c>
      <c r="BZ429" s="38">
        <v>99999999</v>
      </c>
      <c r="CA429" s="38">
        <v>99999999</v>
      </c>
      <c r="CB429" s="38">
        <v>99999999</v>
      </c>
      <c r="CC429" s="38">
        <v>99999999</v>
      </c>
      <c r="CD429" s="38">
        <v>99999999</v>
      </c>
      <c r="CE429" s="38">
        <v>99999999</v>
      </c>
      <c r="CF429" s="38">
        <v>99999999</v>
      </c>
      <c r="CG429" s="38">
        <v>99999999</v>
      </c>
      <c r="CH429" s="34"/>
      <c r="CI429" s="34"/>
      <c r="CJ429" s="34"/>
      <c r="CK429" s="34"/>
      <c r="CL429" s="27">
        <v>0</v>
      </c>
      <c r="CM429" s="9" t="s">
        <v>493</v>
      </c>
    </row>
    <row r="430" spans="1:91" ht="15.6" x14ac:dyDescent="0.3">
      <c r="A430" s="29" t="s">
        <v>509</v>
      </c>
      <c r="B430" s="21" t="s">
        <v>295</v>
      </c>
      <c r="C430" s="29">
        <v>225000</v>
      </c>
      <c r="D430" s="29">
        <v>247500</v>
      </c>
      <c r="E430" s="29">
        <f>D430*[1]Rentabiliteit!$V$74</f>
        <v>247500</v>
      </c>
      <c r="F430" s="29">
        <v>247500</v>
      </c>
      <c r="G430" s="26">
        <v>99</v>
      </c>
      <c r="H430" s="26">
        <v>98.8</v>
      </c>
      <c r="I430" s="14"/>
      <c r="J430" s="29">
        <v>12</v>
      </c>
      <c r="K430" s="5" t="s">
        <v>113</v>
      </c>
      <c r="L430" s="29">
        <v>2</v>
      </c>
      <c r="M430" s="29">
        <v>2</v>
      </c>
      <c r="N430" s="29">
        <v>2</v>
      </c>
      <c r="O430" s="29">
        <v>2</v>
      </c>
      <c r="P430" s="29">
        <v>2</v>
      </c>
      <c r="Q430" s="29">
        <v>2</v>
      </c>
      <c r="R430" s="29">
        <v>2</v>
      </c>
      <c r="S430" s="29">
        <v>2</v>
      </c>
      <c r="T430" s="29">
        <v>2</v>
      </c>
      <c r="U430" s="29">
        <v>2</v>
      </c>
      <c r="V430" s="29">
        <v>2</v>
      </c>
      <c r="W430" s="29">
        <v>2</v>
      </c>
      <c r="X430" s="29"/>
      <c r="Y430" s="29"/>
      <c r="Z430" s="29"/>
      <c r="AA430" s="29"/>
      <c r="AB430" s="29">
        <v>550</v>
      </c>
      <c r="AC430" s="29">
        <v>500</v>
      </c>
      <c r="AD430" s="55">
        <v>1500</v>
      </c>
      <c r="AE430" s="29">
        <v>1500</v>
      </c>
      <c r="AF430" s="5">
        <f t="shared" si="105"/>
        <v>0</v>
      </c>
      <c r="AG430" s="29">
        <v>30</v>
      </c>
      <c r="AH430" s="29">
        <v>30</v>
      </c>
      <c r="AI430" s="29">
        <v>30</v>
      </c>
      <c r="AJ430" s="29">
        <v>30</v>
      </c>
      <c r="AK430" s="29">
        <v>30</v>
      </c>
      <c r="AL430" s="29">
        <v>30</v>
      </c>
      <c r="AM430" s="29">
        <v>30</v>
      </c>
      <c r="AN430" s="29">
        <v>30</v>
      </c>
      <c r="AO430" s="29">
        <v>30</v>
      </c>
      <c r="AP430" s="29">
        <v>30</v>
      </c>
      <c r="AQ430" s="29">
        <v>30</v>
      </c>
      <c r="AR430" s="29">
        <v>30</v>
      </c>
      <c r="AS430" s="29"/>
      <c r="AT430" s="29"/>
      <c r="AU430" s="29"/>
      <c r="AV430" s="29"/>
      <c r="AW430" s="5">
        <f t="shared" si="106"/>
        <v>0</v>
      </c>
      <c r="AX430" s="29">
        <v>50</v>
      </c>
      <c r="AY430" s="29">
        <v>50</v>
      </c>
      <c r="AZ430" s="29">
        <v>50</v>
      </c>
      <c r="BA430" s="29">
        <v>50</v>
      </c>
      <c r="BB430" s="29">
        <v>50</v>
      </c>
      <c r="BC430" s="29">
        <v>50</v>
      </c>
      <c r="BD430" s="29">
        <v>50</v>
      </c>
      <c r="BE430" s="29">
        <v>50</v>
      </c>
      <c r="BF430" s="29">
        <v>50</v>
      </c>
      <c r="BG430" s="29">
        <v>50</v>
      </c>
      <c r="BH430" s="29">
        <v>50</v>
      </c>
      <c r="BI430" s="29">
        <v>50</v>
      </c>
      <c r="BJ430" s="29"/>
      <c r="BK430" s="29"/>
      <c r="BL430" s="29"/>
      <c r="BM430" s="29"/>
      <c r="BN430" s="36" t="s">
        <v>96</v>
      </c>
      <c r="BO430" s="26">
        <v>178.7</v>
      </c>
      <c r="BP430" s="5" t="s">
        <v>171</v>
      </c>
      <c r="BQ430" s="8">
        <v>44830</v>
      </c>
      <c r="BR430" s="29"/>
      <c r="BS430" s="34">
        <f t="shared" si="107"/>
        <v>250000</v>
      </c>
      <c r="BT430" s="37">
        <f t="shared" si="108"/>
        <v>178.61773953054049</v>
      </c>
      <c r="BU430" s="53">
        <v>99999999</v>
      </c>
      <c r="BV430" s="38">
        <v>99999999</v>
      </c>
      <c r="BW430" s="38">
        <v>99999999</v>
      </c>
      <c r="BX430" s="38">
        <v>99999999</v>
      </c>
      <c r="BY430" s="38">
        <v>99999999</v>
      </c>
      <c r="BZ430" s="38">
        <v>99999999</v>
      </c>
      <c r="CA430" s="38">
        <v>99999999</v>
      </c>
      <c r="CB430" s="38">
        <v>99999999</v>
      </c>
      <c r="CC430" s="38">
        <v>99999999</v>
      </c>
      <c r="CD430" s="38">
        <v>99999999</v>
      </c>
      <c r="CE430" s="38">
        <v>99999999</v>
      </c>
      <c r="CF430" s="38">
        <v>99999999</v>
      </c>
      <c r="CG430" s="38">
        <v>99999999</v>
      </c>
      <c r="CH430" s="34"/>
      <c r="CI430" s="34"/>
      <c r="CJ430" s="34"/>
      <c r="CK430" s="34"/>
      <c r="CL430" s="27">
        <v>0</v>
      </c>
      <c r="CM430" s="9" t="s">
        <v>510</v>
      </c>
    </row>
    <row r="431" spans="1:91" ht="15.6" x14ac:dyDescent="0.3">
      <c r="A431" s="28" t="s">
        <v>511</v>
      </c>
      <c r="B431" s="21" t="s">
        <v>295</v>
      </c>
      <c r="C431" s="28">
        <v>250000</v>
      </c>
      <c r="D431" s="28">
        <v>250000</v>
      </c>
      <c r="E431" s="28">
        <f>D431*[1]Rentabiliteit!$V$74</f>
        <v>250000</v>
      </c>
      <c r="F431" s="28">
        <v>250000</v>
      </c>
      <c r="G431" s="37">
        <v>99</v>
      </c>
      <c r="H431" s="37">
        <v>98.8</v>
      </c>
      <c r="I431" s="14"/>
      <c r="J431" s="28">
        <v>12</v>
      </c>
      <c r="K431" s="5" t="s">
        <v>113</v>
      </c>
      <c r="L431" s="28">
        <v>2</v>
      </c>
      <c r="M431" s="28">
        <v>2</v>
      </c>
      <c r="N431" s="28">
        <v>2</v>
      </c>
      <c r="O431" s="28">
        <v>2</v>
      </c>
      <c r="P431" s="28">
        <v>2</v>
      </c>
      <c r="Q431" s="28">
        <v>2</v>
      </c>
      <c r="R431" s="28">
        <v>2</v>
      </c>
      <c r="S431" s="28">
        <v>2</v>
      </c>
      <c r="T431" s="28">
        <v>2</v>
      </c>
      <c r="U431" s="28">
        <v>2</v>
      </c>
      <c r="V431" s="28">
        <v>2</v>
      </c>
      <c r="W431" s="28">
        <v>2</v>
      </c>
      <c r="X431" s="28"/>
      <c r="Y431" s="28"/>
      <c r="Z431" s="28"/>
      <c r="AA431" s="28"/>
      <c r="AB431" s="28">
        <v>550</v>
      </c>
      <c r="AC431" s="28">
        <v>500</v>
      </c>
      <c r="AD431" s="53">
        <v>1500</v>
      </c>
      <c r="AE431" s="28">
        <v>1500</v>
      </c>
      <c r="AF431" s="5">
        <f t="shared" si="105"/>
        <v>0</v>
      </c>
      <c r="AG431" s="28">
        <v>30</v>
      </c>
      <c r="AH431" s="28">
        <v>30</v>
      </c>
      <c r="AI431" s="28">
        <v>30</v>
      </c>
      <c r="AJ431" s="28">
        <v>30</v>
      </c>
      <c r="AK431" s="28">
        <v>30</v>
      </c>
      <c r="AL431" s="28">
        <v>30</v>
      </c>
      <c r="AM431" s="28">
        <v>30</v>
      </c>
      <c r="AN431" s="28">
        <v>30</v>
      </c>
      <c r="AO431" s="28">
        <v>30</v>
      </c>
      <c r="AP431" s="28">
        <v>30</v>
      </c>
      <c r="AQ431" s="28">
        <v>30</v>
      </c>
      <c r="AR431" s="28">
        <v>30</v>
      </c>
      <c r="AS431" s="28"/>
      <c r="AT431" s="28"/>
      <c r="AU431" s="28"/>
      <c r="AV431" s="28"/>
      <c r="AW431" s="5">
        <f t="shared" si="106"/>
        <v>0</v>
      </c>
      <c r="AX431" s="28">
        <v>50</v>
      </c>
      <c r="AY431" s="28">
        <v>50</v>
      </c>
      <c r="AZ431" s="28">
        <v>50</v>
      </c>
      <c r="BA431" s="28">
        <v>50</v>
      </c>
      <c r="BB431" s="28">
        <v>50</v>
      </c>
      <c r="BC431" s="28">
        <v>50</v>
      </c>
      <c r="BD431" s="28">
        <v>50</v>
      </c>
      <c r="BE431" s="28">
        <v>50</v>
      </c>
      <c r="BF431" s="28">
        <v>50</v>
      </c>
      <c r="BG431" s="28">
        <v>50</v>
      </c>
      <c r="BH431" s="28">
        <v>50</v>
      </c>
      <c r="BI431" s="28">
        <v>50</v>
      </c>
      <c r="BJ431" s="28"/>
      <c r="BK431" s="28"/>
      <c r="BL431" s="28"/>
      <c r="BM431" s="28"/>
      <c r="BN431" s="36" t="s">
        <v>96</v>
      </c>
      <c r="BO431" s="37">
        <v>180.5</v>
      </c>
      <c r="BP431" s="5" t="s">
        <v>171</v>
      </c>
      <c r="BQ431" s="8">
        <v>44830</v>
      </c>
      <c r="BR431" s="28"/>
      <c r="BS431" s="34">
        <f t="shared" si="107"/>
        <v>252525.25252525252</v>
      </c>
      <c r="BT431" s="37">
        <f t="shared" si="108"/>
        <v>180.42195912175805</v>
      </c>
      <c r="BU431" s="53">
        <v>99999999</v>
      </c>
      <c r="BV431" s="38">
        <v>99999999</v>
      </c>
      <c r="BW431" s="38">
        <v>99999999</v>
      </c>
      <c r="BX431" s="38">
        <v>99999999</v>
      </c>
      <c r="BY431" s="38">
        <v>99999999</v>
      </c>
      <c r="BZ431" s="38">
        <v>99999999</v>
      </c>
      <c r="CA431" s="38">
        <v>99999999</v>
      </c>
      <c r="CB431" s="38">
        <v>99999999</v>
      </c>
      <c r="CC431" s="38">
        <v>99999999</v>
      </c>
      <c r="CD431" s="38">
        <v>99999999</v>
      </c>
      <c r="CE431" s="38">
        <v>99999999</v>
      </c>
      <c r="CF431" s="38">
        <v>99999999</v>
      </c>
      <c r="CG431" s="38">
        <v>99999999</v>
      </c>
      <c r="CH431" s="34"/>
      <c r="CI431" s="27"/>
      <c r="CJ431" s="27"/>
      <c r="CK431" s="27"/>
      <c r="CL431" s="27">
        <v>0</v>
      </c>
      <c r="CM431" s="9" t="s">
        <v>510</v>
      </c>
    </row>
    <row r="432" spans="1:91" ht="15.6" x14ac:dyDescent="0.3">
      <c r="A432" s="5" t="s">
        <v>122</v>
      </c>
      <c r="B432" s="22"/>
      <c r="C432" s="5"/>
      <c r="D432" s="5"/>
      <c r="E432" s="5"/>
      <c r="F432" s="5"/>
      <c r="G432" s="6"/>
      <c r="H432" s="6"/>
      <c r="I432" s="6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6"/>
      <c r="BP432" s="5"/>
      <c r="BQ432" s="8"/>
      <c r="BR432" s="5"/>
      <c r="BS432" s="9">
        <v>9999999</v>
      </c>
      <c r="BT432" s="6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9"/>
      <c r="CM432" s="9"/>
    </row>
  </sheetData>
  <dataValidations count="1">
    <dataValidation type="list" allowBlank="1" showInputMessage="1" showErrorMessage="1" sqref="K4:K23 K414:K431 K311:K326 K122:K136 K29:K89 K169:K196 K202:K213 K266:K280 K332:K341 K347:K363 K142:K163 K286:K305 K369:K378 K95:K116 K384:K408 K219:K233 K240:K260" xr:uid="{A2A85EE2-9032-47D2-AC36-5DCCA87A9170}">
      <formula1>"N.A. (1MPPT),Not known,Yes,No"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DEVOS</dc:creator>
  <cp:lastModifiedBy>Tim DEVOS</cp:lastModifiedBy>
  <dcterms:created xsi:type="dcterms:W3CDTF">2026-05-20T08:20:38Z</dcterms:created>
  <dcterms:modified xsi:type="dcterms:W3CDTF">2026-05-20T08:22:53Z</dcterms:modified>
</cp:coreProperties>
</file>